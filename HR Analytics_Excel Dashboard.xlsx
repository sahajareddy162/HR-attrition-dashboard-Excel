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4.xml" ContentType="application/vnd.ms-office.chartex+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432d471c2ace6cd/Desktop/"/>
    </mc:Choice>
  </mc:AlternateContent>
  <xr:revisionPtr revIDLastSave="137" documentId="8_{68C7EF90-3266-4A0E-B1CC-33B21A2C9098}" xr6:coauthVersionLast="47" xr6:coauthVersionMax="47" xr10:uidLastSave="{0AC58F3B-0C37-41FC-8FD0-C4BF7434F4CD}"/>
  <bookViews>
    <workbookView xWindow="-108" yWindow="-108" windowWidth="23256" windowHeight="12456" xr2:uid="{00000000-000D-0000-FFFF-FFFF00000000}"/>
  </bookViews>
  <sheets>
    <sheet name="Dashboard" sheetId="3" r:id="rId1"/>
    <sheet name="Data" sheetId="1" r:id="rId2"/>
    <sheet name="KPI" sheetId="7" r:id="rId3"/>
    <sheet name="Rating" sheetId="8" r:id="rId4"/>
    <sheet name="Education" sheetId="10" r:id="rId5"/>
    <sheet name="Job role" sheetId="11" r:id="rId6"/>
    <sheet name="Gender" sheetId="9" r:id="rId7"/>
    <sheet name="Department" sheetId="12" r:id="rId8"/>
    <sheet name="Age group" sheetId="13" r:id="rId9"/>
    <sheet name="Marital Status" sheetId="14" r:id="rId10"/>
  </sheets>
  <definedNames>
    <definedName name="_xlchart.v1.0" hidden="1">'Job role'!$D$2:$D$10</definedName>
    <definedName name="_xlchart.v1.1" hidden="1">'Job role'!$E$2:$E$10</definedName>
    <definedName name="_xlchart.v1.5" hidden="1">'Job role'!$D$2:$D$10</definedName>
    <definedName name="_xlchart.v1.6" hidden="1">'Job role'!$E$2:$E$10</definedName>
    <definedName name="_xlchart.v2.2" hidden="1">'Marital Status'!$D$3:$D$5</definedName>
    <definedName name="_xlchart.v2.3" hidden="1">'Marital Status'!$E$2</definedName>
    <definedName name="_xlchart.v2.4" hidden="1">'Marital Status'!$E$3:$E$5</definedName>
    <definedName name="_xlchart.v2.7" hidden="1">'Marital Status'!$D$3:$D$5</definedName>
    <definedName name="_xlchart.v2.8" hidden="1">'Marital Status'!$E$2</definedName>
    <definedName name="_xlchart.v2.9" hidden="1">'Marital Status'!$E$3:$E$5</definedName>
    <definedName name="Slicer_Department">#N/A</definedName>
    <definedName name="Slicer_Education_Field2">#N/A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1" l="1"/>
  <c r="D4" i="11"/>
  <c r="D5" i="11"/>
  <c r="D6" i="11"/>
  <c r="D7" i="11"/>
  <c r="D8" i="11"/>
  <c r="D9" i="11"/>
  <c r="D10" i="11"/>
  <c r="D2" i="11"/>
  <c r="E2" i="11"/>
  <c r="B7" i="7"/>
  <c r="A7" i="7"/>
  <c r="B5" i="8"/>
  <c r="E3" i="14"/>
  <c r="E4" i="11"/>
  <c r="E7" i="11"/>
  <c r="E4" i="14"/>
  <c r="B8" i="9"/>
  <c r="B9" i="9"/>
  <c r="C7" i="7"/>
  <c r="E5" i="14"/>
  <c r="E5" i="11"/>
  <c r="B6" i="8"/>
  <c r="E6" i="11"/>
  <c r="E8" i="11"/>
  <c r="E9" i="11"/>
  <c r="E10" i="11"/>
  <c r="E3" i="11"/>
  <c r="D7" i="7" l="1"/>
  <c r="F7" i="7"/>
  <c r="C9" i="9"/>
  <c r="C8" i="9"/>
  <c r="C5" i="8"/>
  <c r="C6" i="8"/>
</calcChain>
</file>

<file path=xl/sharedStrings.xml><?xml version="1.0" encoding="utf-8"?>
<sst xmlns="http://schemas.openxmlformats.org/spreadsheetml/2006/main" count="19219" uniqueCount="1569">
  <si>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</si>
  <si>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</si>
  <si>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</si>
  <si>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</si>
  <si>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</si>
  <si>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</si>
  <si>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</si>
  <si>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</si>
  <si>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</si>
  <si>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</si>
  <si>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</si>
  <si>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</si>
  <si>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</si>
  <si>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</si>
  <si>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</si>
  <si>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</si>
  <si>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</si>
  <si>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</si>
  <si>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</si>
  <si>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</si>
  <si>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</si>
  <si>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</si>
  <si>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</si>
  <si>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</si>
  <si>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</si>
  <si>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</si>
  <si>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</si>
  <si>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</si>
  <si>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</si>
  <si>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</si>
  <si>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</si>
  <si>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</si>
  <si>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</si>
  <si>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</si>
  <si>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</si>
  <si>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</si>
  <si>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</si>
  <si>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</si>
  <si>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</si>
  <si>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</si>
  <si>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</si>
  <si>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</si>
  <si>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</si>
  <si>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</si>
  <si>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</si>
  <si>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</si>
  <si>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</si>
  <si>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</si>
  <si>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</si>
  <si>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</si>
  <si>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</si>
  <si>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</si>
  <si>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</si>
  <si>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</si>
  <si>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</si>
  <si>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</si>
  <si>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</si>
  <si>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</si>
  <si>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</si>
  <si>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</si>
  <si>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</si>
  <si>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</si>
  <si>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</si>
  <si>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</si>
  <si>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</si>
  <si>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</si>
  <si>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</si>
  <si>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</si>
  <si>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</si>
  <si>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</si>
  <si>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</si>
  <si>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</si>
  <si>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</si>
  <si>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</si>
  <si>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</si>
  <si>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</si>
  <si>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</si>
  <si>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</si>
  <si>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</si>
  <si>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</si>
  <si>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</si>
  <si>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</si>
  <si>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</si>
  <si>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</si>
  <si>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</si>
  <si>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</si>
  <si>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</si>
  <si>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</si>
  <si>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</si>
  <si>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</si>
  <si>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</si>
  <si>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</si>
  <si>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</si>
  <si>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</si>
  <si>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</si>
  <si>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</si>
  <si>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</si>
  <si>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</si>
  <si>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</si>
  <si>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</si>
  <si>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</si>
  <si>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</si>
  <si>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</si>
  <si>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</si>
  <si>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</si>
  <si>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</si>
  <si>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</si>
  <si>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</si>
  <si>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</si>
  <si>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</si>
  <si>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</si>
  <si>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</si>
  <si>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</si>
  <si>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</si>
  <si>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</si>
  <si>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</si>
  <si>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</si>
  <si>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</si>
  <si>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</si>
  <si>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</si>
  <si>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</si>
  <si>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</si>
  <si>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</si>
  <si>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</si>
  <si>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</si>
  <si>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</si>
  <si>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</si>
  <si>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</si>
  <si>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</si>
  <si>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</si>
  <si>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</si>
  <si>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</si>
  <si>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</si>
  <si>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</si>
  <si>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</si>
  <si>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</si>
  <si>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</si>
  <si>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</si>
  <si>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</si>
  <si>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</si>
  <si>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</si>
  <si>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</si>
  <si>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</si>
  <si>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</si>
  <si>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</si>
  <si>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</si>
  <si>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</si>
  <si>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</si>
  <si>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</si>
  <si>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</si>
  <si>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</si>
  <si>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</si>
  <si>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</si>
  <si>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</si>
  <si>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</si>
  <si>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</si>
  <si>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</si>
  <si>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</si>
  <si>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</si>
  <si>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</si>
  <si>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</si>
  <si>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</si>
  <si>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</si>
  <si>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</si>
  <si>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</si>
  <si>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</si>
  <si>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</si>
  <si>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</si>
  <si>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</si>
  <si>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</si>
  <si>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</si>
  <si>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</si>
  <si>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</si>
  <si>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</si>
  <si>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</si>
  <si>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</si>
  <si>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</si>
  <si>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</si>
  <si>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</si>
  <si>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</si>
  <si>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</si>
  <si>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</si>
  <si>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</si>
  <si>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</si>
  <si>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</si>
  <si>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</si>
  <si>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</si>
  <si>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</si>
  <si>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</si>
  <si>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</si>
  <si>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</si>
  <si>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</si>
  <si>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</si>
  <si>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</si>
  <si>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</si>
  <si>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</si>
  <si>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</si>
  <si>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</si>
  <si>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</si>
  <si>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</si>
  <si>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</si>
  <si>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</si>
  <si>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</si>
  <si>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</si>
  <si>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</si>
  <si>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</si>
  <si>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</si>
  <si>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</si>
  <si>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</si>
  <si>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</si>
  <si>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</si>
  <si>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</si>
  <si>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</si>
  <si>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</si>
  <si>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</si>
  <si>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</si>
  <si>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</si>
  <si>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</si>
  <si>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</si>
  <si>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</si>
  <si>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</si>
  <si>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</si>
  <si>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</si>
  <si>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</si>
  <si>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</si>
  <si>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</si>
  <si>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</si>
  <si>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</si>
  <si>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</si>
  <si>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</si>
  <si>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</si>
  <si>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</si>
  <si>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</si>
  <si>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</si>
  <si>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</si>
  <si>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</si>
  <si>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</si>
  <si>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</si>
  <si>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</si>
  <si>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</si>
  <si>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</si>
  <si>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</si>
  <si>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</si>
  <si>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</si>
  <si>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</si>
  <si>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</si>
  <si>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</si>
  <si>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</si>
  <si>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</si>
  <si>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</si>
  <si>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</si>
  <si>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</si>
  <si>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</si>
  <si>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</si>
  <si>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</si>
  <si>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</si>
  <si>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</si>
  <si>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</si>
  <si>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</si>
  <si>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</si>
  <si>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</si>
  <si>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</si>
  <si>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</si>
  <si>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</si>
  <si>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</si>
  <si>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</si>
  <si>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</si>
  <si>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</si>
  <si>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</si>
  <si>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</si>
  <si>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</si>
  <si>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</si>
  <si>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</si>
  <si>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</si>
  <si>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</si>
  <si>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</si>
  <si>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</si>
  <si>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</si>
  <si>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</si>
  <si>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</si>
  <si>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</si>
  <si>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</si>
  <si>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</si>
  <si>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</si>
  <si>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</si>
  <si>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</si>
  <si>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</si>
  <si>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</si>
  <si>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</si>
  <si>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</si>
  <si>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</si>
  <si>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</si>
  <si>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</si>
  <si>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</si>
  <si>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</si>
  <si>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</si>
  <si>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</si>
  <si>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</si>
  <si>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</si>
  <si>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</si>
  <si>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</si>
  <si>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</si>
  <si>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</si>
  <si>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</si>
  <si>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</si>
  <si>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</si>
  <si>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</si>
  <si>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</si>
  <si>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</si>
  <si>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</si>
  <si>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</si>
  <si>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</si>
  <si>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</si>
  <si>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</si>
  <si>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</si>
  <si>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</si>
  <si>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</si>
  <si>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</si>
  <si>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</si>
  <si>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</si>
  <si>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</si>
  <si>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</si>
  <si>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</si>
  <si>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</si>
  <si>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</si>
  <si>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</si>
  <si>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</si>
  <si>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</si>
  <si>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</si>
  <si>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</si>
  <si>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</si>
  <si>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</si>
  <si>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</si>
  <si>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</si>
  <si>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</si>
  <si>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</si>
  <si>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</si>
  <si>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</si>
  <si>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</si>
  <si>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</si>
  <si>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</si>
  <si>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</si>
  <si>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</si>
  <si>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</si>
  <si>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</si>
  <si>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</si>
  <si>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</si>
  <si>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</si>
  <si>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</si>
  <si>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</si>
  <si>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</si>
  <si>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</si>
  <si>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</si>
  <si>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</si>
  <si>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</si>
  <si>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</si>
  <si>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</si>
  <si>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</si>
  <si>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</si>
  <si>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</si>
  <si>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</si>
  <si>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</si>
  <si>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</si>
  <si>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</si>
  <si>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</si>
  <si>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</si>
  <si>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</si>
  <si>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</si>
  <si>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</si>
  <si>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</si>
  <si>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</si>
  <si>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</si>
  <si>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</si>
  <si>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</si>
  <si>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</si>
  <si>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</si>
  <si>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</si>
  <si>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</si>
  <si>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</si>
  <si>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</si>
  <si>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</si>
  <si>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</si>
  <si>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</si>
  <si>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</si>
  <si>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</si>
  <si>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</si>
  <si>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</si>
  <si>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</si>
  <si>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</si>
  <si>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</si>
  <si>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</si>
  <si>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</si>
  <si>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</si>
  <si>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</si>
  <si>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</si>
  <si>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</si>
  <si>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</si>
  <si>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</si>
  <si>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</si>
  <si>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</si>
  <si>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</si>
  <si>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</si>
  <si>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</si>
  <si>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</si>
  <si>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</si>
  <si>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</si>
  <si>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</si>
  <si>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</si>
  <si>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</si>
  <si>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</si>
  <si>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</si>
  <si>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</si>
  <si>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</si>
  <si>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</si>
  <si>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</si>
  <si>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</si>
  <si>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</si>
  <si>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</si>
  <si>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</si>
  <si>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</si>
  <si>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</si>
  <si>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</si>
  <si>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</si>
  <si>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</si>
  <si>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</si>
  <si>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</si>
  <si>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</si>
  <si>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</si>
  <si>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</si>
  <si>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</si>
  <si>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</si>
  <si>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</si>
  <si>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</si>
  <si>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</si>
  <si>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</si>
  <si>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</si>
  <si>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</si>
  <si>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</si>
  <si>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</si>
  <si>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</si>
  <si>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</si>
  <si>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</si>
  <si>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</si>
  <si>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</si>
  <si>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</si>
  <si>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</si>
  <si>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</si>
  <si>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</si>
  <si>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</si>
  <si>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</si>
  <si>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</si>
  <si>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</si>
  <si>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</si>
  <si>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</si>
  <si>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</si>
  <si>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</si>
  <si>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</si>
  <si>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</si>
  <si>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</si>
  <si>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</si>
  <si>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</si>
  <si>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</si>
  <si>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</si>
  <si>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</si>
  <si>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</si>
  <si>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</si>
  <si>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</si>
  <si>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</si>
  <si>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</si>
  <si>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</si>
  <si>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</si>
  <si>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</si>
  <si>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</si>
  <si>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</si>
  <si>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</si>
  <si>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</si>
  <si>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</si>
  <si>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</si>
  <si>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</si>
  <si>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</si>
  <si>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</si>
  <si>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</si>
  <si>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</si>
  <si>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</si>
  <si>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</si>
  <si>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</si>
  <si>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</si>
  <si>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</si>
  <si>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</si>
  <si>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</si>
  <si>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</si>
  <si>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</si>
  <si>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</si>
  <si>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</si>
  <si>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</si>
  <si>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</si>
  <si>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</si>
  <si>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</si>
  <si>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</si>
  <si>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</si>
  <si>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</si>
  <si>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</si>
  <si>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</si>
  <si>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</si>
  <si>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</si>
  <si>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</si>
  <si>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</si>
  <si>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</si>
  <si>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</si>
  <si>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</si>
  <si>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</si>
  <si>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</si>
  <si>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</si>
  <si>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</si>
  <si>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</si>
  <si>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</si>
  <si>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</si>
  <si>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</si>
  <si>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</si>
  <si>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</si>
  <si>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</si>
  <si>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</si>
  <si>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</si>
  <si>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</si>
  <si>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</si>
  <si>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</si>
  <si>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</si>
  <si>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</si>
  <si>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</si>
  <si>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</si>
  <si>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</si>
  <si>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</si>
  <si>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</si>
  <si>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</si>
  <si>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</si>
  <si>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</si>
  <si>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</si>
  <si>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</si>
  <si>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</si>
  <si>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</si>
  <si>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</si>
  <si>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</si>
  <si>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</si>
  <si>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</si>
  <si>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</si>
  <si>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</si>
  <si>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</si>
  <si>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</si>
  <si>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</si>
  <si>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</si>
  <si>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</si>
  <si>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</si>
  <si>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</si>
  <si>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</si>
  <si>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</si>
  <si>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</si>
  <si>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</si>
  <si>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</si>
  <si>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</si>
  <si>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</si>
  <si>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</si>
  <si>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</si>
  <si>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</si>
  <si>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</si>
  <si>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</si>
  <si>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</si>
  <si>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</si>
  <si>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</si>
  <si>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</si>
  <si>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</si>
  <si>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</si>
  <si>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</si>
  <si>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</si>
  <si>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</si>
  <si>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</si>
  <si>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</si>
  <si>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</si>
  <si>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</si>
  <si>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</si>
  <si>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</si>
  <si>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</si>
  <si>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</si>
  <si>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</si>
  <si>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</si>
  <si>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</si>
  <si>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</si>
  <si>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</si>
  <si>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</si>
  <si>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</si>
  <si>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</si>
  <si>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</si>
  <si>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</si>
  <si>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</si>
  <si>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</si>
  <si>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</si>
  <si>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</si>
  <si>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</si>
  <si>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</si>
  <si>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</si>
  <si>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</si>
  <si>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</si>
  <si>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</si>
  <si>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</si>
  <si>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</si>
  <si>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</si>
  <si>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</si>
  <si>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</si>
  <si>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</si>
  <si>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</si>
  <si>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</si>
  <si>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</si>
  <si>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</si>
  <si>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</si>
  <si>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</si>
  <si>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</si>
  <si>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</si>
  <si>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</si>
  <si>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</si>
  <si>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</si>
  <si>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</si>
  <si>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</si>
  <si>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</si>
  <si>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</si>
  <si>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</si>
  <si>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</si>
  <si>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</si>
  <si>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</si>
  <si>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</si>
  <si>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</si>
  <si>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</si>
  <si>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</si>
  <si>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</si>
  <si>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</si>
  <si>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</si>
  <si>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</si>
  <si>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</si>
  <si>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</si>
  <si>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</si>
  <si>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</si>
  <si>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</si>
  <si>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</si>
  <si>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</si>
  <si>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</si>
  <si>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</si>
  <si>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</si>
  <si>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</si>
  <si>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</si>
  <si>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</si>
  <si>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</si>
  <si>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</si>
  <si>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</si>
  <si>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</si>
  <si>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</si>
  <si>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</si>
  <si>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</si>
  <si>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</si>
  <si>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</si>
  <si>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</si>
  <si>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</si>
  <si>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</si>
  <si>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</si>
  <si>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</si>
  <si>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</si>
  <si>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</si>
  <si>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</si>
  <si>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</si>
  <si>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</si>
  <si>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</si>
  <si>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</si>
  <si>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</si>
  <si>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</si>
  <si>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</si>
  <si>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</si>
  <si>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</si>
  <si>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</si>
  <si>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</si>
  <si>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</si>
  <si>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</si>
  <si>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</si>
  <si>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</si>
  <si>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</si>
  <si>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</si>
  <si>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</si>
  <si>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</si>
  <si>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</si>
  <si>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</si>
  <si>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</si>
  <si>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</si>
  <si>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</si>
  <si>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</si>
  <si>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</si>
  <si>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</si>
  <si>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</si>
  <si>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</si>
  <si>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</si>
  <si>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</si>
  <si>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</si>
  <si>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</si>
  <si>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</si>
  <si>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</si>
  <si>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</si>
  <si>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</si>
  <si>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</si>
  <si>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</si>
  <si>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</si>
  <si>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</si>
  <si>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</si>
  <si>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</si>
  <si>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</si>
  <si>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</si>
  <si>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</si>
  <si>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</si>
  <si>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</si>
  <si>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</si>
  <si>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</si>
  <si>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</si>
  <si>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</si>
  <si>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</si>
  <si>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</si>
  <si>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</si>
  <si>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</si>
  <si>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</si>
  <si>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</si>
  <si>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</si>
  <si>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</si>
  <si>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</si>
  <si>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</si>
  <si>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</si>
  <si>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</si>
  <si>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</si>
  <si>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</si>
  <si>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</si>
  <si>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</si>
  <si>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</si>
  <si>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</si>
  <si>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</si>
  <si>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</si>
  <si>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</si>
  <si>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</si>
  <si>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</si>
  <si>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</si>
  <si>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</si>
  <si>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</si>
  <si>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</si>
  <si>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</si>
  <si>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</si>
  <si>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</si>
  <si>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</si>
  <si>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</si>
  <si>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</si>
  <si>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</si>
  <si>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</si>
  <si>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</si>
  <si>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</si>
  <si>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</si>
  <si>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</si>
  <si>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</si>
  <si>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</si>
  <si>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</si>
  <si>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</si>
  <si>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</si>
  <si>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</si>
  <si>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</si>
  <si>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</si>
  <si>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</si>
  <si>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</si>
  <si>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</si>
  <si>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</si>
  <si>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</si>
  <si>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</si>
  <si>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</si>
  <si>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</si>
  <si>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</si>
  <si>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</si>
  <si>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</si>
  <si>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</si>
  <si>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</si>
  <si>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</si>
  <si>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</si>
  <si>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</si>
  <si>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</si>
  <si>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</si>
  <si>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</si>
  <si>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</si>
  <si>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</si>
  <si>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</si>
  <si>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</si>
  <si>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</si>
  <si>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</si>
  <si>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</si>
  <si>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</si>
  <si>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</si>
  <si>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</si>
  <si>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</si>
  <si>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</si>
  <si>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</si>
  <si>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</si>
  <si>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</si>
  <si>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</si>
  <si>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</si>
  <si>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</si>
  <si>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</si>
  <si>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</si>
  <si>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</si>
  <si>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</si>
  <si>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</si>
  <si>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</si>
  <si>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</si>
  <si>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</si>
  <si>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</si>
  <si>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</si>
  <si>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</si>
  <si>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</si>
  <si>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</si>
  <si>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</si>
  <si>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</si>
  <si>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</si>
  <si>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</si>
  <si>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</si>
  <si>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</si>
  <si>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</si>
  <si>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</si>
  <si>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</si>
  <si>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</si>
  <si>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</si>
  <si>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</si>
  <si>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</si>
  <si>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</si>
  <si>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</si>
  <si>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</si>
  <si>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</si>
  <si>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</si>
  <si>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</si>
  <si>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</si>
  <si>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</si>
  <si>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</si>
  <si>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</si>
  <si>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</si>
  <si>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</si>
  <si>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</si>
  <si>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</si>
  <si>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</si>
  <si>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</si>
  <si>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</si>
  <si>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</si>
  <si>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</si>
  <si>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</si>
  <si>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</si>
  <si>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</si>
  <si>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</si>
  <si>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</si>
  <si>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</si>
  <si>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</si>
  <si>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</si>
  <si>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</si>
  <si>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</si>
  <si>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</si>
  <si>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</si>
  <si>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</si>
  <si>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</si>
  <si>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</si>
  <si>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</si>
  <si>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</si>
  <si>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</si>
  <si>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</si>
  <si>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</si>
  <si>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</si>
  <si>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</si>
  <si>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</si>
  <si>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</si>
  <si>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</si>
  <si>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</si>
  <si>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</si>
  <si>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</si>
  <si>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</si>
  <si>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</si>
  <si>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</si>
  <si>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</si>
  <si>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</si>
  <si>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</si>
  <si>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</si>
  <si>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</si>
  <si>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</si>
  <si>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</si>
  <si>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</si>
  <si>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</si>
  <si>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</si>
  <si>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</si>
  <si>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</si>
  <si>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</si>
  <si>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</si>
  <si>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</si>
  <si>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</si>
  <si>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</si>
  <si>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</si>
  <si>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</si>
  <si>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</si>
  <si>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</si>
  <si>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</si>
  <si>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</si>
  <si>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</si>
  <si>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</si>
  <si>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</si>
  <si>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</si>
  <si>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</si>
  <si>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</si>
  <si>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</si>
  <si>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</si>
  <si>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</si>
  <si>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</si>
  <si>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</si>
  <si>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</si>
  <si>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</si>
  <si>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</si>
  <si>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</si>
  <si>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</si>
  <si>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</si>
  <si>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</si>
  <si>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</si>
  <si>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</si>
  <si>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</si>
  <si>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</si>
  <si>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</si>
  <si>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</si>
  <si>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</si>
  <si>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</si>
  <si>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</si>
  <si>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</si>
  <si>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</si>
  <si>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</si>
  <si>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</si>
  <si>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</si>
  <si>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</si>
  <si>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</si>
  <si>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</si>
  <si>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</si>
  <si>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</si>
  <si>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</si>
  <si>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</si>
  <si>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</si>
  <si>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</si>
  <si>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</si>
  <si>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</si>
  <si>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</si>
  <si>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</si>
  <si>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</si>
  <si>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</si>
  <si>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</si>
  <si>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</si>
  <si>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</si>
  <si>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</si>
  <si>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</si>
  <si>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</si>
  <si>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</si>
  <si>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</si>
  <si>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</si>
  <si>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</si>
  <si>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</si>
  <si>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</si>
  <si>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</si>
  <si>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</si>
  <si>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</si>
  <si>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</si>
  <si>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</si>
  <si>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</si>
  <si>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</si>
  <si>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</si>
  <si>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</si>
  <si>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</si>
  <si>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</si>
  <si>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</si>
  <si>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</si>
  <si>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</si>
  <si>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</si>
  <si>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</si>
  <si>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</si>
  <si>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</si>
  <si>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</si>
  <si>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</si>
  <si>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</si>
  <si>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</si>
  <si>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</si>
  <si>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</si>
  <si>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</si>
  <si>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</si>
  <si>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</si>
  <si>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</si>
  <si>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</si>
  <si>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</si>
  <si>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</si>
  <si>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</si>
  <si>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</si>
  <si>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</si>
  <si>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</si>
  <si>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</si>
  <si>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</si>
  <si>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</si>
  <si>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</si>
  <si>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</si>
  <si>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</si>
  <si>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</si>
  <si>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</si>
  <si>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</si>
  <si>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</si>
  <si>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</si>
  <si>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</si>
  <si>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</si>
  <si>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</si>
  <si>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</si>
  <si>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</si>
  <si>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</si>
  <si>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</si>
  <si>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</si>
  <si>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</si>
  <si>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</si>
  <si>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</si>
  <si>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</si>
  <si>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</si>
  <si>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</si>
  <si>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</si>
  <si>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</si>
  <si>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</si>
  <si>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</si>
  <si>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</si>
  <si>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</si>
  <si>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</si>
  <si>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</si>
  <si>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</si>
  <si>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</si>
  <si>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</si>
  <si>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</si>
  <si>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</si>
  <si>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</si>
  <si>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</si>
  <si>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</si>
  <si>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</si>
  <si>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</si>
  <si>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</si>
  <si>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</si>
  <si>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</si>
  <si>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</si>
  <si>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</si>
  <si>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</si>
  <si>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</si>
  <si>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</si>
  <si>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</si>
  <si>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</si>
  <si>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</si>
  <si>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</si>
  <si>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</si>
  <si>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</si>
  <si>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</si>
  <si>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</si>
  <si>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</si>
  <si>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</si>
  <si>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</si>
  <si>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</si>
  <si>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</si>
  <si>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</si>
  <si>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</si>
  <si>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</si>
  <si>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</si>
  <si>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</si>
  <si>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</si>
  <si>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</si>
  <si>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</si>
  <si>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</si>
  <si>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</si>
  <si>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</si>
  <si>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</si>
  <si>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</si>
  <si>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</si>
  <si>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</si>
  <si>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</si>
  <si>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</si>
  <si>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</si>
  <si>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</si>
  <si>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</si>
  <si>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</si>
  <si>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</si>
  <si>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</si>
  <si>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</si>
  <si>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</si>
  <si>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</si>
  <si>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</si>
  <si>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</si>
  <si>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</si>
  <si>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</si>
  <si>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</si>
  <si>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</si>
  <si>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</si>
  <si>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</si>
  <si>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</si>
  <si>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</si>
  <si>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</si>
  <si>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</si>
  <si>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</si>
  <si>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</si>
  <si>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</si>
  <si>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</si>
  <si>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</si>
  <si>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</si>
  <si>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</si>
  <si>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</si>
  <si>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</si>
  <si>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</si>
  <si>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</si>
  <si>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</si>
  <si>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</si>
  <si>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</si>
  <si>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</si>
  <si>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</si>
  <si>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</si>
  <si>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</si>
  <si>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</si>
  <si>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</si>
  <si>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</si>
  <si>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</si>
  <si>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</si>
  <si>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</si>
  <si>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</si>
  <si>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</si>
  <si>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</si>
  <si>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</si>
  <si>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</si>
  <si>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</si>
  <si>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</si>
  <si>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</si>
  <si>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</si>
  <si>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</si>
  <si>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</si>
  <si>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</si>
  <si>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</si>
  <si>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</si>
  <si>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</si>
  <si>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</si>
  <si>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</si>
  <si>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</si>
  <si>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</si>
  <si>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</si>
  <si>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</si>
  <si>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</si>
  <si>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</si>
  <si>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</si>
  <si>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</si>
  <si>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</si>
  <si>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</si>
  <si>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</si>
  <si>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</si>
  <si>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</si>
  <si>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</si>
  <si>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</si>
  <si>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</si>
  <si>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</si>
  <si>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</si>
  <si>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</si>
  <si>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</si>
  <si>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</si>
  <si>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</si>
  <si>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</si>
  <si>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</si>
  <si>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</si>
  <si>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</si>
  <si>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</si>
  <si>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</si>
  <si>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</si>
  <si>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</si>
  <si>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</si>
  <si>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</si>
  <si>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</si>
  <si>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</si>
  <si>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</si>
  <si>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</si>
  <si>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</si>
  <si>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</si>
  <si>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</si>
  <si>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</si>
  <si>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</si>
  <si>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</si>
  <si>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</si>
  <si>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</si>
  <si>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</si>
  <si>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</si>
  <si>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</si>
  <si>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</si>
  <si>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</si>
  <si>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</si>
  <si>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</si>
  <si>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</si>
  <si>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</si>
  <si>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</si>
  <si>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</si>
  <si>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</si>
  <si>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</si>
  <si>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</si>
  <si>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</si>
  <si>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</si>
  <si>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</si>
  <si>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</si>
  <si>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</si>
  <si>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</si>
  <si>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</si>
  <si>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</si>
  <si>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</si>
  <si>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</si>
  <si>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</si>
  <si>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</si>
  <si>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</si>
  <si>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</si>
  <si>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</si>
  <si>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</si>
  <si>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</si>
  <si>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</si>
  <si>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</si>
  <si>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</si>
  <si>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</si>
  <si>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</si>
  <si>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</si>
  <si>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</si>
  <si>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</si>
  <si>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</si>
  <si>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</si>
  <si>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</si>
  <si>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</si>
  <si>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</si>
  <si>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</si>
  <si>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</si>
  <si>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</si>
  <si>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</si>
  <si>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</si>
  <si>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</si>
  <si>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</si>
  <si>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</si>
  <si>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</si>
  <si>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</si>
  <si>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</si>
  <si>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</si>
  <si>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</si>
  <si>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</si>
  <si>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</si>
  <si>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</si>
  <si>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</si>
  <si>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</si>
  <si>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</si>
  <si>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</si>
  <si>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</si>
  <si>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</si>
  <si>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</si>
  <si>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</si>
  <si>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</si>
  <si>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</si>
  <si>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</si>
  <si>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</si>
  <si>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</si>
  <si>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</si>
  <si>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</si>
  <si>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</si>
  <si>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</si>
  <si>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</si>
  <si>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</si>
  <si>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</si>
  <si>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</si>
  <si>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</si>
  <si>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</si>
  <si>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</si>
  <si>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</si>
  <si>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</si>
  <si>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</si>
  <si>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</si>
  <si>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</si>
  <si>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</si>
  <si>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</si>
  <si>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</si>
  <si>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</si>
  <si>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</si>
  <si>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</si>
  <si>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</si>
  <si>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</si>
  <si>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</si>
  <si>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</si>
  <si>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</si>
  <si>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</si>
  <si>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</si>
  <si>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</si>
  <si>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</si>
  <si>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</si>
  <si>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</si>
  <si>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</si>
  <si>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</si>
  <si>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</si>
  <si>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</si>
  <si>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</si>
  <si>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</si>
  <si>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</si>
  <si>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</si>
  <si>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</si>
  <si>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</si>
  <si>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</si>
  <si>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</si>
  <si>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</si>
  <si>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</si>
  <si>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</si>
  <si>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</si>
  <si>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</si>
  <si>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</si>
  <si>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</si>
  <si>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</si>
  <si>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</si>
  <si>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</si>
  <si>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</si>
  <si>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</si>
  <si>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</si>
  <si>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</si>
  <si>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</si>
  <si>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</si>
  <si>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</si>
  <si>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</si>
  <si>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</si>
  <si>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</si>
  <si>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</si>
  <si>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</si>
  <si>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</si>
  <si>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</si>
  <si>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</si>
  <si>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</si>
  <si>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</si>
  <si>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</si>
  <si>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</si>
  <si>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</si>
  <si>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</si>
  <si>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</si>
  <si>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</si>
  <si>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</si>
  <si>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</si>
  <si>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</si>
  <si>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</si>
  <si>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</si>
  <si>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</si>
  <si>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</si>
  <si>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</si>
  <si>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</si>
  <si>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</si>
  <si>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</si>
  <si>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</si>
  <si>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</si>
  <si>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</si>
  <si>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</si>
  <si>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</si>
  <si>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</si>
  <si>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</si>
  <si>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</si>
  <si>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</si>
  <si>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</si>
  <si>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</si>
  <si>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</si>
  <si>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</si>
  <si>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</si>
  <si>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</si>
  <si>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</si>
  <si>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</si>
  <si>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</si>
  <si>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</si>
  <si>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</si>
  <si>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</si>
  <si>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</si>
  <si>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</si>
  <si>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</si>
  <si>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</si>
  <si>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</si>
  <si>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</si>
  <si>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</si>
  <si>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</si>
  <si>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</si>
  <si>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</si>
  <si>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</si>
  <si>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</si>
  <si>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</si>
  <si>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</si>
  <si>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</si>
  <si>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</si>
  <si>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</si>
  <si>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</si>
  <si>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</si>
  <si>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</si>
  <si>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</si>
  <si>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</si>
  <si>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</si>
  <si>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</si>
  <si>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</si>
  <si>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</si>
  <si>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</si>
  <si>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</si>
  <si>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</si>
  <si>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</si>
  <si>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</si>
  <si>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</si>
  <si>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</si>
  <si>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</si>
  <si>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</si>
  <si>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</si>
  <si>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</si>
  <si>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</si>
  <si>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</si>
  <si>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</si>
  <si>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</si>
  <si>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</si>
  <si>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</si>
  <si>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</si>
  <si>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</si>
  <si>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</si>
  <si>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</si>
  <si>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</si>
  <si>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</si>
  <si>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</si>
  <si>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</si>
  <si>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</si>
  <si>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</si>
  <si>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</si>
  <si>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</si>
  <si>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</si>
  <si>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</si>
  <si>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</si>
  <si>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</si>
  <si>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</si>
  <si>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</si>
  <si>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</si>
  <si>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</si>
  <si>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</si>
  <si>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</si>
  <si>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</si>
  <si>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</si>
  <si>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</si>
  <si>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</si>
  <si>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</si>
  <si>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</si>
  <si>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</si>
  <si>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</si>
  <si>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</si>
  <si>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</si>
  <si>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</si>
  <si>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</si>
  <si>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</si>
  <si>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</si>
  <si>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</si>
  <si>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</si>
  <si>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</si>
  <si>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</si>
  <si>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</si>
  <si>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</si>
  <si>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</si>
  <si>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</si>
  <si>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</si>
  <si>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</si>
  <si>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</si>
  <si>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</si>
  <si>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</si>
  <si>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</si>
  <si>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</si>
  <si>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</si>
  <si>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</si>
  <si>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</si>
  <si>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</si>
  <si>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</si>
  <si>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</si>
  <si>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</si>
  <si>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</si>
  <si>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</si>
  <si>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</si>
  <si>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</si>
  <si>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</si>
  <si>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</si>
  <si>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</si>
  <si>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</si>
  <si>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</si>
  <si>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</si>
  <si>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</si>
  <si>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</si>
  <si>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</si>
  <si>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</si>
  <si>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</si>
  <si>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</si>
  <si>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</si>
  <si>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</si>
  <si>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</si>
  <si>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</si>
  <si>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</si>
  <si>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</si>
  <si>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</si>
  <si>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</si>
  <si>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</si>
  <si>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</si>
  <si>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</si>
  <si>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</si>
  <si>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</si>
  <si>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</si>
  <si>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</si>
  <si>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</si>
  <si>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</si>
  <si>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</si>
  <si>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</si>
  <si>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</si>
  <si>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</si>
  <si>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</si>
  <si>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</si>
  <si>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</si>
  <si>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</si>
  <si>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</si>
  <si>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</si>
  <si>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</si>
  <si>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</si>
  <si>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</si>
  <si>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</si>
  <si>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</si>
  <si>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</si>
  <si>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</si>
  <si>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</si>
  <si>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</si>
  <si>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</si>
  <si>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</si>
  <si>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</si>
  <si>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</si>
  <si>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</si>
  <si>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</si>
  <si>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</si>
  <si>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</si>
  <si>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</si>
  <si>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</si>
  <si>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</si>
  <si>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</si>
  <si>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</si>
  <si>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</si>
  <si>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</si>
  <si>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</si>
  <si>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</si>
  <si>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</si>
  <si>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</si>
  <si>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</si>
  <si>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</si>
  <si>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</si>
  <si>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</si>
  <si>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</si>
  <si>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</si>
  <si>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</si>
  <si>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</si>
  <si>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</si>
  <si>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</si>
  <si>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</si>
  <si>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</si>
  <si>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</si>
  <si>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</si>
  <si>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</si>
  <si>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</si>
  <si>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</si>
  <si>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</si>
  <si>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</si>
  <si>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</si>
  <si>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</si>
  <si>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</si>
  <si>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</si>
  <si>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</si>
  <si>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</si>
  <si>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</si>
  <si>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</si>
  <si>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</si>
  <si>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</si>
  <si>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</si>
  <si>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</si>
  <si>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Sum of Employee Count</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</si>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</sst>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1"/>
      <name val="Calibri"/>
      <family val="2"/>
      <scheme val="minor"/>
    </font>
    <font>
      <sz val="12"/>
      <color theme="7" tint="0.79998168889431442"/>
      <name val="Calibri"/>
      <family val="2"/>
      <scheme val="minor"/>
    </font>
  </fonts>
  <fills count="3">
    <fill>
      <patternFill patternType="none"/>
    </fill>
    <fill>
      <patternFill patternType="gray125"/>
    </fill>
    <fill>
      <patternFill patternType="solid">
        <fgColor rgb="FFAAE9EE"/>
        <bgColor indexed="64"/>
      </patternFill>
    </fill>
  </fills>
  <borders count="7">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0" fontId="2" fillId="0" borderId="0" xfId="0" applyFont="1"/>
    <xf numFmtId="10" fontId="0" fillId="0" borderId="0" xfId="1" applyNumberFormat="1" applyFont="1"/>
    <xf numFmtId="1" fontId="0" fillId="0" borderId="4" xfId="0" applyNumberFormat="1" applyBorder="1"/>
    <xf numFmtId="1" fontId="0" fillId="0" borderId="0" xfId="0" applyNumberFormat="1"/>
    <xf numFmtId="0" fontId="2" fillId="2" borderId="0" xfId="0" applyFont="1" applyFill="1"/>
    <xf numFmtId="0" fontId="0" fillId="2" borderId="0" xfId="0" applyFill="1"/>
    <xf numFmtId="0" fontId="3" fillId="2" borderId="0" xfId="0" applyFont="1" applyFill="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0" fillId="0" borderId="0" xfId="0" applyNumberFormat="1"/>
    <xf numFmtId="0" fontId="0" fillId="0" borderId="3" xfId="0" applyNumberFormat="1" applyBorder="1"/>
    <xf numFmtId="0" fontId="0" fillId="0" borderId="6" xfId="0" applyNumberFormat="1" applyBorder="1"/>
  </cellXfs>
  <cellStyles count="2">
    <cellStyle name="Normal" xfId="0" builtinId="0"/>
    <cellStyle name="Percent" xfId="1" builtinId="5"/>
  </cellStyles>
  <dxfs count="11">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10"/>
      <tableStyleElement type="firstRowStripe" dxfId="9"/>
      <tableStyleElement type="secondRowStripe" dxfId="8"/>
    </tableStyle>
  </tableStyles>
  <colors>
    <mruColors>
      <color rgb="FFFF9966"/>
      <color rgb="FFF737E9"/>
      <color rgb="FFCB5ED0"/>
      <color rgb="FF8A2E74"/>
      <color rgb="FF8A298F"/>
      <color rgb="FFAAE9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75106289061841"/>
          <c:y val="0.14222503242290591"/>
          <c:w val="0.53888888888888886"/>
          <c:h val="0.89814814814814814"/>
        </c:manualLayout>
      </c:layout>
      <c:doughnutChart>
        <c:varyColors val="1"/>
        <c:ser>
          <c:idx val="0"/>
          <c:order val="0"/>
          <c:spPr>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c:spPr>
          <c:dPt>
            <c:idx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1-BEE2-4F4A-BA5C-97C4DC436005}"/>
              </c:ext>
            </c:extLst>
          </c:dPt>
          <c:dPt>
            <c:idx val="1"/>
            <c:bubble3D val="0"/>
            <c:spPr>
              <a:noFill/>
              <a:ln w="19050">
                <a:noFill/>
              </a:ln>
              <a:effectLst/>
            </c:spPr>
            <c:extLst>
              <c:ext xmlns:c16="http://schemas.microsoft.com/office/drawing/2014/chart" uri="{C3380CC4-5D6E-409C-BE32-E72D297353CC}">
                <c16:uniqueId val="{00000003-BEE2-4F4A-BA5C-97C4DC436005}"/>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4-BEE2-4F4A-BA5C-97C4DC43600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333333333333333E-2"/>
          <c:y val="6.0185185185185182E-2"/>
          <c:w val="0.93888888888888888"/>
          <c:h val="0.89814814814814814"/>
        </c:manualLayout>
      </c:layout>
      <c:barChart>
        <c:barDir val="bar"/>
        <c:grouping val="stacked"/>
        <c:varyColors val="0"/>
        <c:ser>
          <c:idx val="2"/>
          <c:order val="0"/>
          <c:spPr>
            <a:solidFill>
              <a:srgbClr val="FFC000"/>
            </a:solidFill>
          </c:spPr>
          <c:invertIfNegative val="0"/>
          <c:val>
            <c:numRef>
              <c:f>Rating!$B$5</c:f>
              <c:numCache>
                <c:formatCode>0.0</c:formatCode>
                <c:ptCount val="1"/>
                <c:pt idx="0">
                  <c:v>2.6265306122448981</c:v>
                </c:pt>
              </c:numCache>
            </c:numRef>
          </c:val>
          <c:extLst>
            <c:ext xmlns:c16="http://schemas.microsoft.com/office/drawing/2014/chart" uri="{C3380CC4-5D6E-409C-BE32-E72D297353CC}">
              <c16:uniqueId val="{00000004-ED9E-4D41-BDE4-1F62F8C54A2E}"/>
            </c:ext>
          </c:extLst>
        </c:ser>
        <c:ser>
          <c:idx val="3"/>
          <c:order val="1"/>
          <c:spPr>
            <a:solidFill>
              <a:schemeClr val="bg2"/>
            </a:solidFill>
            <a:ln>
              <a:solidFill>
                <a:schemeClr val="bg2"/>
              </a:solidFill>
            </a:ln>
          </c:spPr>
          <c:invertIfNegative val="0"/>
          <c:val>
            <c:numRef>
              <c:f>Rating!$B$6</c:f>
              <c:numCache>
                <c:formatCode>0.0</c:formatCode>
                <c:ptCount val="1"/>
                <c:pt idx="0">
                  <c:v>1.3734693877551019</c:v>
                </c:pt>
              </c:numCache>
            </c:numRef>
          </c:val>
          <c:extLst>
            <c:ext xmlns:c16="http://schemas.microsoft.com/office/drawing/2014/chart" uri="{C3380CC4-5D6E-409C-BE32-E72D297353CC}">
              <c16:uniqueId val="{00000005-ED9E-4D41-BDE4-1F62F8C54A2E}"/>
            </c:ext>
          </c:extLst>
        </c:ser>
        <c:ser>
          <c:idx val="0"/>
          <c:order val="2"/>
          <c:spPr>
            <a:solidFill>
              <a:schemeClr val="accent1"/>
            </a:solidFill>
            <a:ln>
              <a:noFill/>
            </a:ln>
            <a:effectLst/>
          </c:spPr>
          <c:invertIfNegative val="0"/>
          <c:val>
            <c:numRef>
              <c:f>Rating!$B$5</c:f>
              <c:numCache>
                <c:formatCode>0.0</c:formatCode>
                <c:ptCount val="1"/>
                <c:pt idx="0">
                  <c:v>2.6265306122448981</c:v>
                </c:pt>
              </c:numCache>
            </c:numRef>
          </c:val>
          <c:extLst>
            <c:ext xmlns:c16="http://schemas.microsoft.com/office/drawing/2014/chart" uri="{C3380CC4-5D6E-409C-BE32-E72D297353CC}">
              <c16:uniqueId val="{00000001-ED9E-4D41-BDE4-1F62F8C54A2E}"/>
            </c:ext>
          </c:extLst>
        </c:ser>
        <c:ser>
          <c:idx val="1"/>
          <c:order val="3"/>
          <c:spPr>
            <a:solidFill>
              <a:schemeClr val="accent2"/>
            </a:solidFill>
            <a:ln>
              <a:noFill/>
            </a:ln>
            <a:effectLst/>
          </c:spPr>
          <c:invertIfNegative val="0"/>
          <c:val>
            <c:numRef>
              <c:f>Rating!$B$6</c:f>
              <c:numCache>
                <c:formatCode>0.0</c:formatCode>
                <c:ptCount val="1"/>
                <c:pt idx="0">
                  <c:v>1.3734693877551019</c:v>
                </c:pt>
              </c:numCache>
            </c:numRef>
          </c:val>
          <c:extLst>
            <c:ext xmlns:c16="http://schemas.microsoft.com/office/drawing/2014/chart" uri="{C3380CC4-5D6E-409C-BE32-E72D297353CC}">
              <c16:uniqueId val="{00000003-ED9E-4D41-BDE4-1F62F8C54A2E}"/>
            </c:ext>
          </c:extLst>
        </c:ser>
        <c:dLbls>
          <c:showLegendKey val="0"/>
          <c:showVal val="0"/>
          <c:showCatName val="0"/>
          <c:showSerName val="0"/>
          <c:showPercent val="0"/>
          <c:showBubbleSize val="0"/>
        </c:dLbls>
        <c:gapWidth val="0"/>
        <c:overlap val="100"/>
        <c:axId val="913819519"/>
        <c:axId val="913820959"/>
      </c:barChart>
      <c:catAx>
        <c:axId val="913819519"/>
        <c:scaling>
          <c:orientation val="minMax"/>
        </c:scaling>
        <c:delete val="1"/>
        <c:axPos val="l"/>
        <c:majorTickMark val="out"/>
        <c:minorTickMark val="none"/>
        <c:tickLblPos val="nextTo"/>
        <c:crossAx val="913820959"/>
        <c:crosses val="autoZero"/>
        <c:auto val="1"/>
        <c:lblAlgn val="ctr"/>
        <c:lblOffset val="100"/>
        <c:noMultiLvlLbl val="0"/>
      </c:catAx>
      <c:valAx>
        <c:axId val="913820959"/>
        <c:scaling>
          <c:orientation val="minMax"/>
          <c:max val="4"/>
          <c:min val="0"/>
        </c:scaling>
        <c:delete val="1"/>
        <c:axPos val="b"/>
        <c:numFmt formatCode="0.0" sourceLinked="1"/>
        <c:majorTickMark val="out"/>
        <c:minorTickMark val="none"/>
        <c:tickLblPos val="nextTo"/>
        <c:crossAx val="913819519"/>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285801773041365E-3"/>
          <c:y val="0.12472859273053594"/>
          <c:w val="0.76894570568103704"/>
          <c:h val="0.8437955859630657"/>
        </c:manualLayout>
      </c:layout>
      <c:doughnutChart>
        <c:varyColors val="1"/>
        <c:ser>
          <c:idx val="0"/>
          <c:order val="0"/>
          <c:dPt>
            <c:idx val="0"/>
            <c:bubble3D val="0"/>
            <c:spPr>
              <a:gradFill flip="none" rotWithShape="1">
                <a:gsLst>
                  <a:gs pos="48000">
                    <a:srgbClr val="CB5ED0"/>
                  </a:gs>
                  <a:gs pos="68000">
                    <a:srgbClr val="F737E9"/>
                  </a:gs>
                  <a:gs pos="28000">
                    <a:srgbClr val="8A2E74"/>
                  </a:gs>
                  <a:gs pos="8000">
                    <a:srgbClr val="8A2E74"/>
                  </a:gs>
                </a:gsLst>
                <a:path path="rect">
                  <a:fillToRect l="100000" t="100000"/>
                </a:path>
                <a:tileRect r="-100000" b="-100000"/>
              </a:gradFill>
              <a:ln w="19050">
                <a:solidFill>
                  <a:schemeClr val="lt1"/>
                </a:solidFill>
              </a:ln>
              <a:effectLst/>
            </c:spPr>
            <c:extLst>
              <c:ext xmlns:c16="http://schemas.microsoft.com/office/drawing/2014/chart" uri="{C3380CC4-5D6E-409C-BE32-E72D297353CC}">
                <c16:uniqueId val="{00000001-6BD7-4265-99C0-C54324984D6F}"/>
              </c:ext>
            </c:extLst>
          </c:dPt>
          <c:dPt>
            <c:idx val="1"/>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3-6BD7-4265-99C0-C54324984D6F}"/>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6BD7-4265-99C0-C54324984D6F}"/>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319689760802971"/>
          <c:y val="4.7607770108427962E-2"/>
          <c:w val="0.76894570568103704"/>
          <c:h val="0.8437955859630657"/>
        </c:manualLayout>
      </c:layout>
      <c:doughnutChart>
        <c:varyColors val="1"/>
        <c:ser>
          <c:idx val="0"/>
          <c:order val="0"/>
          <c:spPr>
            <a:noFill/>
          </c:spPr>
          <c:dPt>
            <c:idx val="0"/>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1-DA9C-4ED5-8603-4ECBAFD27FC7}"/>
              </c:ext>
            </c:extLst>
          </c:dPt>
          <c:dPt>
            <c:idx val="1"/>
            <c:bubble3D val="0"/>
            <c:spPr>
              <a:gradFill>
                <a:gsLst>
                  <a:gs pos="48000">
                    <a:schemeClr val="accent1">
                      <a:lumMod val="60000"/>
                      <a:lumOff val="40000"/>
                    </a:schemeClr>
                  </a:gs>
                  <a:gs pos="68000">
                    <a:schemeClr val="accent1">
                      <a:lumMod val="40000"/>
                      <a:lumOff val="60000"/>
                    </a:schemeClr>
                  </a:gs>
                  <a:gs pos="28000">
                    <a:schemeClr val="accent1">
                      <a:lumMod val="75000"/>
                    </a:schemeClr>
                  </a:gs>
                  <a:gs pos="8000">
                    <a:schemeClr val="accent1">
                      <a:lumMod val="50000"/>
                    </a:schemeClr>
                  </a:gs>
                </a:gsLst>
                <a:path path="rect">
                  <a:fillToRect l="100000" t="100000"/>
                </a:path>
              </a:gradFill>
              <a:ln w="19050">
                <a:solidFill>
                  <a:srgbClr val="0070C0"/>
                </a:solidFill>
              </a:ln>
              <a:effectLst/>
            </c:spPr>
            <c:extLst>
              <c:ext xmlns:c16="http://schemas.microsoft.com/office/drawing/2014/chart" uri="{C3380CC4-5D6E-409C-BE32-E72D297353CC}">
                <c16:uniqueId val="{00000003-DA9C-4ED5-8603-4ECBAFD27FC7}"/>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DA9C-4ED5-8603-4ECBAFD27FC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Analytics_Excel Dashboard.xlsx]Education!PivotTable3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48000">
                <a:srgbClr val="92D050"/>
              </a:gs>
              <a:gs pos="100000">
                <a:schemeClr val="accent5">
                  <a:lumMod val="60000"/>
                  <a:lumOff val="40000"/>
                </a:schemeClr>
              </a:gs>
            </a:gsLst>
            <a:lin ang="16200000" scaled="1"/>
          </a:gradFill>
          <a:ln>
            <a:noFill/>
          </a:ln>
          <a:effectLst>
            <a:glow rad="381000">
              <a:schemeClr val="accent1">
                <a:alpha val="0"/>
              </a:schemeClr>
            </a:glow>
          </a:effectLst>
        </c:spPr>
        <c:marker>
          <c:symbol val="none"/>
        </c:marker>
        <c:dLbl>
          <c:idx val="0"/>
          <c:spPr>
            <a:noFill/>
            <a:ln>
              <a:noFill/>
            </a:ln>
            <a:effectLst>
              <a:outerShdw sx="1000" sy="1000" algn="ctr" rotWithShape="0">
                <a:srgbClr val="000000"/>
              </a:outerShdw>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effectLst>
                    <a:outerShdw blurRad="50800" dist="50800" dir="5400000" sx="1000" sy="1000" algn="ctr" rotWithShape="0">
                      <a:srgbClr val="000000">
                        <a:alpha val="43137"/>
                      </a:srgbClr>
                    </a:outerShdw>
                  </a:effectLst>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Education!$B$1</c:f>
              <c:strCache>
                <c:ptCount val="1"/>
                <c:pt idx="0">
                  <c:v>Total</c:v>
                </c:pt>
              </c:strCache>
            </c:strRef>
          </c:tx>
          <c:spPr>
            <a:gradFill>
              <a:gsLst>
                <a:gs pos="0">
                  <a:srgbClr val="00B050"/>
                </a:gs>
                <a:gs pos="48000">
                  <a:srgbClr val="92D050"/>
                </a:gs>
                <a:gs pos="100000">
                  <a:schemeClr val="accent5">
                    <a:lumMod val="60000"/>
                    <a:lumOff val="40000"/>
                  </a:schemeClr>
                </a:gs>
              </a:gsLst>
              <a:lin ang="16200000" scaled="1"/>
            </a:gradFill>
            <a:ln>
              <a:noFill/>
            </a:ln>
            <a:effectLst>
              <a:glow rad="381000">
                <a:schemeClr val="accent1">
                  <a:alpha val="0"/>
                </a:schemeClr>
              </a:glow>
            </a:effectLst>
          </c:spPr>
          <c:invertIfNegative val="0"/>
          <c:dLbls>
            <c:spPr>
              <a:noFill/>
              <a:ln>
                <a:noFill/>
              </a:ln>
              <a:effectLst>
                <a:outerShdw sx="1000" sy="1000" algn="ctr" rotWithShape="0">
                  <a:srgbClr val="000000"/>
                </a:outerShdw>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effectLst>
                      <a:outerShdw blurRad="50800" dist="50800" dir="5400000" sx="1000" sy="1000" algn="ctr" rotWithShape="0">
                        <a:srgbClr val="000000">
                          <a:alpha val="43137"/>
                        </a:srgbClr>
                      </a:outerShdw>
                    </a:effectLst>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Education!$A$2:$A$7</c:f>
              <c:strCache>
                <c:ptCount val="5"/>
                <c:pt idx="0">
                  <c:v>Doctoral Degree</c:v>
                </c:pt>
                <c:pt idx="1">
                  <c:v>High School</c:v>
                </c:pt>
                <c:pt idx="2">
                  <c:v>Associates Degree</c:v>
                </c:pt>
                <c:pt idx="3">
                  <c:v>Master's Degree</c:v>
                </c:pt>
                <c:pt idx="4">
                  <c:v>Bachelor's Degree</c:v>
                </c:pt>
              </c:strCache>
            </c:strRef>
          </c:cat>
          <c:val>
            <c:numRef>
              <c:f>Education!$B$2:$B$7</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5D5-4938-960A-A98E7A5A2DC0}"/>
            </c:ext>
          </c:extLst>
        </c:ser>
        <c:dLbls>
          <c:dLblPos val="outEnd"/>
          <c:showLegendKey val="0"/>
          <c:showVal val="1"/>
          <c:showCatName val="0"/>
          <c:showSerName val="0"/>
          <c:showPercent val="0"/>
          <c:showBubbleSize val="0"/>
        </c:dLbls>
        <c:gapWidth val="60"/>
        <c:axId val="1039479903"/>
        <c:axId val="1039480863"/>
      </c:barChart>
      <c:catAx>
        <c:axId val="103947990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Berlin Sans FB" panose="020E0602020502020306" pitchFamily="34" charset="0"/>
                <a:ea typeface="+mn-ea"/>
                <a:cs typeface="+mn-cs"/>
              </a:defRPr>
            </a:pPr>
            <a:endParaRPr lang="en-US"/>
          </a:p>
        </c:txPr>
        <c:crossAx val="1039480863"/>
        <c:crosses val="autoZero"/>
        <c:auto val="1"/>
        <c:lblAlgn val="ctr"/>
        <c:lblOffset val="100"/>
        <c:noMultiLvlLbl val="0"/>
      </c:catAx>
      <c:valAx>
        <c:axId val="1039480863"/>
        <c:scaling>
          <c:orientation val="minMax"/>
        </c:scaling>
        <c:delete val="1"/>
        <c:axPos val="b"/>
        <c:numFmt formatCode="General" sourceLinked="1"/>
        <c:majorTickMark val="out"/>
        <c:minorTickMark val="none"/>
        <c:tickLblPos val="nextTo"/>
        <c:crossAx val="10394799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Analytics_Excel Dashboard.xlsx]Department!PivotTable5</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Department!$B$1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B86-4A23-A64E-046128FCF1E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B86-4A23-A64E-046128FCF1E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B86-4A23-A64E-046128FCF1E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Department!$A$2:$A$5</c:f>
              <c:strCache>
                <c:ptCount val="3"/>
                <c:pt idx="0">
                  <c:v>HR</c:v>
                </c:pt>
                <c:pt idx="1">
                  <c:v>R&amp;D</c:v>
                </c:pt>
                <c:pt idx="2">
                  <c:v>Sales</c:v>
                </c:pt>
              </c:strCache>
            </c:strRef>
          </c:cat>
          <c:val>
            <c:numRef>
              <c:f>Department!$B$2:$B$5</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7B86-4A23-A64E-046128FCF1E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529089473416298"/>
          <c:y val="0.29415311711119696"/>
          <c:w val="0.17235679436427734"/>
          <c:h val="0.4116933030063931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Berlin Sans FB" panose="020E0602020502020306"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Analytics_Excel Dashboard.xlsx]Age group!PivotTable6</c:name>
    <c:fmtId val="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74000">
                <a:schemeClr val="accent2">
                  <a:lumMod val="60000"/>
                  <a:lumOff val="40000"/>
                </a:schemeClr>
              </a:gs>
              <a:gs pos="83000">
                <a:schemeClr val="accent2">
                  <a:lumMod val="40000"/>
                  <a:lumOff val="60000"/>
                </a:schemeClr>
              </a:gs>
              <a:gs pos="100000">
                <a:schemeClr val="accent2">
                  <a:lumMod val="20000"/>
                  <a:lumOff val="80000"/>
                </a:schemeClr>
              </a:gs>
            </a:gsLst>
            <a:lin ang="5400000" scaled="1"/>
          </a:gra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65035621022742E-4"/>
          <c:y val="5.1400396695749362E-2"/>
          <c:w val="0.93888888888888888"/>
          <c:h val="0.82508457276173808"/>
        </c:manualLayout>
      </c:layout>
      <c:barChart>
        <c:barDir val="col"/>
        <c:grouping val="clustered"/>
        <c:varyColors val="0"/>
        <c:ser>
          <c:idx val="0"/>
          <c:order val="0"/>
          <c:tx>
            <c:strRef>
              <c:f>'Age group'!$B$1</c:f>
              <c:strCache>
                <c:ptCount val="1"/>
                <c:pt idx="0">
                  <c:v>Total</c:v>
                </c:pt>
              </c:strCache>
            </c:strRef>
          </c:tx>
          <c:spPr>
            <a:gradFill>
              <a:gsLst>
                <a:gs pos="0">
                  <a:schemeClr val="accent2">
                    <a:lumMod val="75000"/>
                  </a:schemeClr>
                </a:gs>
                <a:gs pos="74000">
                  <a:schemeClr val="accent2">
                    <a:lumMod val="60000"/>
                    <a:lumOff val="40000"/>
                  </a:schemeClr>
                </a:gs>
                <a:gs pos="83000">
                  <a:schemeClr val="accent2">
                    <a:lumMod val="40000"/>
                    <a:lumOff val="60000"/>
                  </a:schemeClr>
                </a:gs>
                <a:gs pos="100000">
                  <a:schemeClr val="accent2">
                    <a:lumMod val="20000"/>
                    <a:lumOff val="80000"/>
                  </a:schemeClr>
                </a:gs>
              </a:gsLst>
              <a:lin ang="5400000" scaled="1"/>
            </a:gradFill>
            <a:ln>
              <a:noFill/>
            </a:ln>
            <a:effectLst>
              <a:glow>
                <a:schemeClr val="accent1">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group'!$A$2:$A$7</c:f>
              <c:strCache>
                <c:ptCount val="5"/>
                <c:pt idx="0">
                  <c:v>25 - 34</c:v>
                </c:pt>
                <c:pt idx="1">
                  <c:v>35 - 44</c:v>
                </c:pt>
                <c:pt idx="2">
                  <c:v>45 - 54</c:v>
                </c:pt>
                <c:pt idx="3">
                  <c:v>Under 25</c:v>
                </c:pt>
                <c:pt idx="4">
                  <c:v>Over 55</c:v>
                </c:pt>
              </c:strCache>
            </c:strRef>
          </c:cat>
          <c:val>
            <c:numRef>
              <c:f>'Age group'!$B$2:$B$7</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F6B7-4E27-A3CF-CF8370239338}"/>
            </c:ext>
          </c:extLst>
        </c:ser>
        <c:dLbls>
          <c:dLblPos val="outEnd"/>
          <c:showLegendKey val="0"/>
          <c:showVal val="1"/>
          <c:showCatName val="0"/>
          <c:showSerName val="0"/>
          <c:showPercent val="0"/>
          <c:showBubbleSize val="0"/>
        </c:dLbls>
        <c:gapWidth val="142"/>
        <c:overlap val="-27"/>
        <c:axId val="1074768127"/>
        <c:axId val="1074771487"/>
      </c:barChart>
      <c:catAx>
        <c:axId val="107476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erlin Sans FB" panose="020E0602020502020306" pitchFamily="34" charset="0"/>
                <a:ea typeface="+mn-ea"/>
                <a:cs typeface="+mn-cs"/>
              </a:defRPr>
            </a:pPr>
            <a:endParaRPr lang="en-US"/>
          </a:p>
        </c:txPr>
        <c:crossAx val="1074771487"/>
        <c:crosses val="autoZero"/>
        <c:auto val="1"/>
        <c:lblAlgn val="ctr"/>
        <c:lblOffset val="100"/>
        <c:noMultiLvlLbl val="0"/>
      </c:catAx>
      <c:valAx>
        <c:axId val="1074771487"/>
        <c:scaling>
          <c:orientation val="minMax"/>
        </c:scaling>
        <c:delete val="1"/>
        <c:axPos val="l"/>
        <c:numFmt formatCode="General" sourceLinked="1"/>
        <c:majorTickMark val="none"/>
        <c:minorTickMark val="none"/>
        <c:tickLblPos val="nextTo"/>
        <c:crossAx val="107476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CE-4D4B-A40C-E92ACB2B5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CE-4D4B-A40C-E92ACB2B548D}"/>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0-8174-4385-B496-94D40260B09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333333333333333E-2"/>
          <c:y val="6.0185185185185182E-2"/>
          <c:w val="0.93888888888888888"/>
          <c:h val="0.89814814814814814"/>
        </c:manualLayout>
      </c:layout>
      <c:barChart>
        <c:barDir val="bar"/>
        <c:grouping val="stacked"/>
        <c:varyColors val="0"/>
        <c:ser>
          <c:idx val="0"/>
          <c:order val="0"/>
          <c:spPr>
            <a:solidFill>
              <a:schemeClr val="accent1"/>
            </a:solidFill>
            <a:ln>
              <a:noFill/>
            </a:ln>
            <a:effectLst/>
          </c:spPr>
          <c:invertIfNegative val="0"/>
          <c:val>
            <c:numRef>
              <c:f>Rating!$B$5</c:f>
              <c:numCache>
                <c:formatCode>0.0</c:formatCode>
                <c:ptCount val="1"/>
                <c:pt idx="0">
                  <c:v>2.6265306122448981</c:v>
                </c:pt>
              </c:numCache>
            </c:numRef>
          </c:val>
          <c:extLst>
            <c:ext xmlns:c16="http://schemas.microsoft.com/office/drawing/2014/chart" uri="{C3380CC4-5D6E-409C-BE32-E72D297353CC}">
              <c16:uniqueId val="{00000000-9A6B-4194-ABB4-5C8A6131EA17}"/>
            </c:ext>
          </c:extLst>
        </c:ser>
        <c:ser>
          <c:idx val="1"/>
          <c:order val="1"/>
          <c:spPr>
            <a:solidFill>
              <a:schemeClr val="accent2"/>
            </a:solidFill>
            <a:ln>
              <a:noFill/>
            </a:ln>
            <a:effectLst/>
          </c:spPr>
          <c:invertIfNegative val="0"/>
          <c:val>
            <c:numRef>
              <c:f>Rating!$B$6</c:f>
              <c:numCache>
                <c:formatCode>0.0</c:formatCode>
                <c:ptCount val="1"/>
                <c:pt idx="0">
                  <c:v>1.3734693877551019</c:v>
                </c:pt>
              </c:numCache>
            </c:numRef>
          </c:val>
          <c:extLst>
            <c:ext xmlns:c16="http://schemas.microsoft.com/office/drawing/2014/chart" uri="{C3380CC4-5D6E-409C-BE32-E72D297353CC}">
              <c16:uniqueId val="{00000001-9A6B-4194-ABB4-5C8A6131EA17}"/>
            </c:ext>
          </c:extLst>
        </c:ser>
        <c:dLbls>
          <c:showLegendKey val="0"/>
          <c:showVal val="0"/>
          <c:showCatName val="0"/>
          <c:showSerName val="0"/>
          <c:showPercent val="0"/>
          <c:showBubbleSize val="0"/>
        </c:dLbls>
        <c:gapWidth val="0"/>
        <c:overlap val="100"/>
        <c:axId val="913819519"/>
        <c:axId val="913820959"/>
      </c:barChart>
      <c:catAx>
        <c:axId val="913819519"/>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20959"/>
        <c:crosses val="autoZero"/>
        <c:auto val="1"/>
        <c:lblAlgn val="ctr"/>
        <c:lblOffset val="100"/>
        <c:noMultiLvlLbl val="0"/>
      </c:catAx>
      <c:valAx>
        <c:axId val="913820959"/>
        <c:scaling>
          <c:orientation val="minMax"/>
          <c:max val="4"/>
          <c:min val="0"/>
        </c:scaling>
        <c:delete val="1"/>
        <c:axPos val="b"/>
        <c:numFmt formatCode="0.0" sourceLinked="1"/>
        <c:majorTickMark val="out"/>
        <c:minorTickMark val="none"/>
        <c:tickLblPos val="nextTo"/>
        <c:crossAx val="91381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Analytics_Excel Dashboard.xlsx]Education!PivotTable3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Education!$A$2:$A$7</c:f>
              <c:strCache>
                <c:ptCount val="5"/>
                <c:pt idx="0">
                  <c:v>Doctoral Degree</c:v>
                </c:pt>
                <c:pt idx="1">
                  <c:v>High School</c:v>
                </c:pt>
                <c:pt idx="2">
                  <c:v>Associates Degree</c:v>
                </c:pt>
                <c:pt idx="3">
                  <c:v>Master's Degree</c:v>
                </c:pt>
                <c:pt idx="4">
                  <c:v>Bachelor's Degree</c:v>
                </c:pt>
              </c:strCache>
            </c:strRef>
          </c:cat>
          <c:val>
            <c:numRef>
              <c:f>Education!$B$2:$B$7</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4DF-4399-B8FC-93C41BEADFD2}"/>
            </c:ext>
          </c:extLst>
        </c:ser>
        <c:dLbls>
          <c:dLblPos val="outEnd"/>
          <c:showLegendKey val="0"/>
          <c:showVal val="1"/>
          <c:showCatName val="0"/>
          <c:showSerName val="0"/>
          <c:showPercent val="0"/>
          <c:showBubbleSize val="0"/>
        </c:dLbls>
        <c:gapWidth val="182"/>
        <c:axId val="1039479903"/>
        <c:axId val="1039480863"/>
      </c:barChart>
      <c:catAx>
        <c:axId val="1039479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480863"/>
        <c:crosses val="autoZero"/>
        <c:auto val="1"/>
        <c:lblAlgn val="ctr"/>
        <c:lblOffset val="100"/>
        <c:noMultiLvlLbl val="0"/>
      </c:catAx>
      <c:valAx>
        <c:axId val="1039480863"/>
        <c:scaling>
          <c:orientation val="minMax"/>
        </c:scaling>
        <c:delete val="1"/>
        <c:axPos val="b"/>
        <c:numFmt formatCode="General" sourceLinked="1"/>
        <c:majorTickMark val="out"/>
        <c:minorTickMark val="none"/>
        <c:tickLblPos val="nextTo"/>
        <c:crossAx val="10394799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66970604765882"/>
          <c:y val="9.6535298126294619E-2"/>
          <c:w val="0.69866583724851439"/>
          <c:h val="0.8639030018419934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07-4F00-ABEB-25AB8CD98E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07-4F00-ABEB-25AB8CD98E0A}"/>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F529-4298-B756-D3AF498D289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Analytics_Excel Dashboard.xlsx]Department!PivotTable5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FA-4530-839E-8D800B34BB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FA-4530-839E-8D800B34BB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FA-4530-839E-8D800B34BB47}"/>
              </c:ext>
            </c:extLst>
          </c:dPt>
          <c:cat>
            <c:strRef>
              <c:f>Department!$A$2:$A$5</c:f>
              <c:strCache>
                <c:ptCount val="3"/>
                <c:pt idx="0">
                  <c:v>HR</c:v>
                </c:pt>
                <c:pt idx="1">
                  <c:v>R&amp;D</c:v>
                </c:pt>
                <c:pt idx="2">
                  <c:v>Sales</c:v>
                </c:pt>
              </c:strCache>
            </c:strRef>
          </c:cat>
          <c:val>
            <c:numRef>
              <c:f>Department!$B$2:$B$5</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5DB9-4850-86EE-818738A419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Analytics_Excel Dashboard.xlsx]Age group!PivotTable6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group'!$A$2:$A$7</c:f>
              <c:strCache>
                <c:ptCount val="5"/>
                <c:pt idx="0">
                  <c:v>25 - 34</c:v>
                </c:pt>
                <c:pt idx="1">
                  <c:v>35 - 44</c:v>
                </c:pt>
                <c:pt idx="2">
                  <c:v>45 - 54</c:v>
                </c:pt>
                <c:pt idx="3">
                  <c:v>Under 25</c:v>
                </c:pt>
                <c:pt idx="4">
                  <c:v>Over 55</c:v>
                </c:pt>
              </c:strCache>
            </c:strRef>
          </c:cat>
          <c:val>
            <c:numRef>
              <c:f>'Age group'!$B$2:$B$7</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D9E0-4638-93A6-2623C48D2F01}"/>
            </c:ext>
          </c:extLst>
        </c:ser>
        <c:dLbls>
          <c:dLblPos val="outEnd"/>
          <c:showLegendKey val="0"/>
          <c:showVal val="1"/>
          <c:showCatName val="0"/>
          <c:showSerName val="0"/>
          <c:showPercent val="0"/>
          <c:showBubbleSize val="0"/>
        </c:dLbls>
        <c:gapWidth val="219"/>
        <c:overlap val="-27"/>
        <c:axId val="1074768127"/>
        <c:axId val="1074771487"/>
      </c:barChart>
      <c:catAx>
        <c:axId val="107476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erlin Sans FB" panose="020E0602020502020306" pitchFamily="34" charset="0"/>
                <a:ea typeface="+mn-ea"/>
                <a:cs typeface="+mn-cs"/>
              </a:defRPr>
            </a:pPr>
            <a:endParaRPr lang="en-US"/>
          </a:p>
        </c:txPr>
        <c:crossAx val="1074771487"/>
        <c:crosses val="autoZero"/>
        <c:auto val="1"/>
        <c:lblAlgn val="ctr"/>
        <c:lblOffset val="100"/>
        <c:noMultiLvlLbl val="0"/>
      </c:catAx>
      <c:valAx>
        <c:axId val="1074771487"/>
        <c:scaling>
          <c:orientation val="minMax"/>
        </c:scaling>
        <c:delete val="1"/>
        <c:axPos val="l"/>
        <c:numFmt formatCode="General" sourceLinked="1"/>
        <c:majorTickMark val="none"/>
        <c:minorTickMark val="none"/>
        <c:tickLblPos val="nextTo"/>
        <c:crossAx val="107476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31897A44-46E9-4D35-8576-53234AA0C3DF}">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plotSurface>
          <cx:spPr>
            <a:noFill/>
            <a:ln>
              <a:noFill/>
            </a:ln>
          </cx:spPr>
        </cx:plotSurface>
        <cx:series layoutId="funnel" uniqueId="{17D39101-8F48-49AB-84BD-BF769AC2A079}">
          <cx:tx>
            <cx:txData>
              <cx:f>_xlchart.v2.3</cx:f>
              <cx:v>Attrition</cx:v>
            </cx:txData>
          </cx:tx>
          <cx:spPr>
            <a:gradFill>
              <a:gsLst>
                <a:gs pos="0">
                  <a:srgbClr val="FFC000"/>
                </a:gs>
                <a:gs pos="74000">
                  <a:schemeClr val="accent1">
                    <a:lumMod val="45000"/>
                    <a:lumOff val="55000"/>
                  </a:schemeClr>
                </a:gs>
                <a:gs pos="83000">
                  <a:schemeClr val="accent1">
                    <a:lumMod val="75000"/>
                  </a:schemeClr>
                </a:gs>
                <a:gs pos="100000">
                  <a:schemeClr val="accent1">
                    <a:lumMod val="20000"/>
                    <a:lumOff val="80000"/>
                  </a:schemeClr>
                </a:gs>
              </a:gsLst>
              <a:lin ang="5400000" scaled="1"/>
            </a:gradFill>
          </cx:spPr>
          <cx:dataLabels>
            <cx:txPr>
              <a:bodyPr spcFirstLastPara="1" vertOverflow="ellipsis" horzOverflow="overflow" wrap="square" lIns="0" tIns="0" rIns="0" bIns="0" anchor="ctr" anchorCtr="1"/>
              <a:lstStyle/>
              <a:p>
                <a:pPr algn="ctr" rtl="0">
                  <a:defRPr sz="1400">
                    <a:solidFill>
                      <a:schemeClr val="tx1"/>
                    </a:solidFill>
                    <a:latin typeface="Berlin Sans FB" panose="020E0602020502020306" pitchFamily="34" charset="0"/>
                    <a:ea typeface="Berlin Sans FB" panose="020E0602020502020306" pitchFamily="34" charset="0"/>
                    <a:cs typeface="Berlin Sans FB" panose="020E0602020502020306" pitchFamily="34" charset="0"/>
                  </a:defRPr>
                </a:pPr>
                <a:endParaRPr lang="en-US" sz="1400" b="0" i="0" u="none" strike="noStrike" baseline="0">
                  <a:solidFill>
                    <a:schemeClr val="tx1"/>
                  </a:solidFill>
                  <a:latin typeface="Berlin Sans FB" panose="020E0602020502020306" pitchFamily="34" charset="0"/>
                  <a:ea typeface="Calibri"/>
                  <a:cs typeface="Calibri"/>
                </a:endParaRPr>
              </a:p>
            </cx:txPr>
            <cx:visibility seriesName="0" categoryName="0" value="1"/>
          </cx:dataLabels>
          <cx:dataId val="0"/>
        </cx:series>
      </cx:plotAreaRegion>
      <cx:axis id="0">
        <cx:catScaling gapWidth="0.360000014"/>
        <cx:tickLabels/>
        <cx:spPr>
          <a:ln>
            <a:noFill/>
          </a:ln>
        </cx:spPr>
        <cx:txPr>
          <a:bodyPr spcFirstLastPara="1" vertOverflow="ellipsis" horzOverflow="overflow" wrap="square" lIns="0" tIns="0" rIns="0" bIns="0" anchor="ctr" anchorCtr="1"/>
          <a:lstStyle/>
          <a:p>
            <a:pPr algn="ctr" rtl="0">
              <a:defRPr sz="1400">
                <a:latin typeface="Berlin Sans FB" panose="020E0602020502020306" pitchFamily="34" charset="0"/>
                <a:ea typeface="Berlin Sans FB" panose="020E0602020502020306" pitchFamily="34" charset="0"/>
                <a:cs typeface="Berlin Sans FB" panose="020E0602020502020306" pitchFamily="34" charset="0"/>
              </a:defRPr>
            </a:pPr>
            <a:endParaRPr lang="en-US" sz="1400" b="0" i="0" u="none" strike="noStrike" baseline="0">
              <a:solidFill>
                <a:srgbClr val="000000">
                  <a:lumMod val="65000"/>
                  <a:lumOff val="35000"/>
                </a:srgbClr>
              </a:solidFill>
              <a:latin typeface="Berlin Sans FB" panose="020E0602020502020306" pitchFamily="34" charset="0"/>
              <a:ea typeface="Calibri"/>
              <a:cs typeface="Calibri"/>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31897A44-46E9-4D35-8576-53234AA0C3DF}">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17D39101-8F48-49AB-84BD-BF769AC2A079}">
          <cx:tx>
            <cx:txData>
              <cx:f>_xlchart.v2.8</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2</xdr:col>
      <xdr:colOff>38101</xdr:colOff>
      <xdr:row>0</xdr:row>
      <xdr:rowOff>101077</xdr:rowOff>
    </xdr:from>
    <xdr:to>
      <xdr:col>24</xdr:col>
      <xdr:colOff>566381</xdr:colOff>
      <xdr:row>39</xdr:row>
      <xdr:rowOff>90985</xdr:rowOff>
    </xdr:to>
    <xdr:grpSp>
      <xdr:nvGrpSpPr>
        <xdr:cNvPr id="27" name="Group 26">
          <a:extLst>
            <a:ext uri="{FF2B5EF4-FFF2-40B4-BE49-F238E27FC236}">
              <a16:creationId xmlns:a16="http://schemas.microsoft.com/office/drawing/2014/main" id="{B2057215-D810-8F9C-8C27-B6F99420F305}"/>
            </a:ext>
          </a:extLst>
        </xdr:cNvPr>
        <xdr:cNvGrpSpPr/>
      </xdr:nvGrpSpPr>
      <xdr:grpSpPr>
        <a:xfrm>
          <a:off x="1357385" y="101077"/>
          <a:ext cx="15040399" cy="7530296"/>
          <a:chOff x="1482489" y="294420"/>
          <a:chExt cx="15040399" cy="7530296"/>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1482489" y="294420"/>
            <a:ext cx="14701481" cy="7496176"/>
            <a:chOff x="1752600" y="190500"/>
            <a:chExt cx="13468350" cy="7776000"/>
          </a:xfr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grpFill/>
            <a:ln cmpd="sng">
              <a:solidFill>
                <a:srgbClr val="7F7F7F"/>
              </a:solidFill>
              <a:prstDash val="dash"/>
              <a:headEnd type="diamond"/>
              <a:extLst>
                <a:ext uri="{C807C97D-BFC1-408E-A445-0C87EB9F89A2}">
                  <ask:lineSketchStyleProps xmlns:ask="http://schemas.microsoft.com/office/drawing/2018/sketchyshapes" sd="1219033472">
                    <a:custGeom>
                      <a:avLst/>
                      <a:gdLst>
                        <a:gd name="csX0" fmla="*/ 0 w 14725650"/>
                        <a:gd name="csY0" fmla="*/ 0 h 7477125"/>
                        <a:gd name="csX1" fmla="*/ 589026 w 14725650"/>
                        <a:gd name="csY1" fmla="*/ 0 h 7477125"/>
                        <a:gd name="csX2" fmla="*/ 883539 w 14725650"/>
                        <a:gd name="csY2" fmla="*/ 0 h 7477125"/>
                        <a:gd name="csX3" fmla="*/ 1178052 w 14725650"/>
                        <a:gd name="csY3" fmla="*/ 0 h 7477125"/>
                        <a:gd name="csX4" fmla="*/ 1472565 w 14725650"/>
                        <a:gd name="csY4" fmla="*/ 0 h 7477125"/>
                        <a:gd name="csX5" fmla="*/ 1767078 w 14725650"/>
                        <a:gd name="csY5" fmla="*/ 0 h 7477125"/>
                        <a:gd name="csX6" fmla="*/ 2208848 w 14725650"/>
                        <a:gd name="csY6" fmla="*/ 0 h 7477125"/>
                        <a:gd name="csX7" fmla="*/ 2503361 w 14725650"/>
                        <a:gd name="csY7" fmla="*/ 0 h 7477125"/>
                        <a:gd name="csX8" fmla="*/ 2945130 w 14725650"/>
                        <a:gd name="csY8" fmla="*/ 0 h 7477125"/>
                        <a:gd name="csX9" fmla="*/ 3681413 w 14725650"/>
                        <a:gd name="csY9" fmla="*/ 0 h 7477125"/>
                        <a:gd name="csX10" fmla="*/ 3975926 w 14725650"/>
                        <a:gd name="csY10" fmla="*/ 0 h 7477125"/>
                        <a:gd name="csX11" fmla="*/ 4123182 w 14725650"/>
                        <a:gd name="csY11" fmla="*/ 0 h 7477125"/>
                        <a:gd name="csX12" fmla="*/ 5006721 w 14725650"/>
                        <a:gd name="csY12" fmla="*/ 0 h 7477125"/>
                        <a:gd name="csX13" fmla="*/ 5153978 w 14725650"/>
                        <a:gd name="csY13" fmla="*/ 0 h 7477125"/>
                        <a:gd name="csX14" fmla="*/ 5743004 w 14725650"/>
                        <a:gd name="csY14" fmla="*/ 0 h 7477125"/>
                        <a:gd name="csX15" fmla="*/ 5890260 w 14725650"/>
                        <a:gd name="csY15" fmla="*/ 0 h 7477125"/>
                        <a:gd name="csX16" fmla="*/ 6626543 w 14725650"/>
                        <a:gd name="csY16" fmla="*/ 0 h 7477125"/>
                        <a:gd name="csX17" fmla="*/ 7215569 w 14725650"/>
                        <a:gd name="csY17" fmla="*/ 0 h 7477125"/>
                        <a:gd name="csX18" fmla="*/ 7951851 w 14725650"/>
                        <a:gd name="csY18" fmla="*/ 0 h 7477125"/>
                        <a:gd name="csX19" fmla="*/ 8540877 w 14725650"/>
                        <a:gd name="csY19" fmla="*/ 0 h 7477125"/>
                        <a:gd name="csX20" fmla="*/ 9277160 w 14725650"/>
                        <a:gd name="csY20" fmla="*/ 0 h 7477125"/>
                        <a:gd name="csX21" fmla="*/ 10013442 w 14725650"/>
                        <a:gd name="csY21" fmla="*/ 0 h 7477125"/>
                        <a:gd name="csX22" fmla="*/ 10896981 w 14725650"/>
                        <a:gd name="csY22" fmla="*/ 0 h 7477125"/>
                        <a:gd name="csX23" fmla="*/ 11044238 w 14725650"/>
                        <a:gd name="csY23" fmla="*/ 0 h 7477125"/>
                        <a:gd name="csX24" fmla="*/ 11191494 w 14725650"/>
                        <a:gd name="csY24" fmla="*/ 0 h 7477125"/>
                        <a:gd name="csX25" fmla="*/ 12075033 w 14725650"/>
                        <a:gd name="csY25" fmla="*/ 0 h 7477125"/>
                        <a:gd name="csX26" fmla="*/ 12516803 w 14725650"/>
                        <a:gd name="csY26" fmla="*/ 0 h 7477125"/>
                        <a:gd name="csX27" fmla="*/ 13400342 w 14725650"/>
                        <a:gd name="csY27" fmla="*/ 0 h 7477125"/>
                        <a:gd name="csX28" fmla="*/ 13842111 w 14725650"/>
                        <a:gd name="csY28" fmla="*/ 0 h 7477125"/>
                        <a:gd name="csX29" fmla="*/ 14725650 w 14725650"/>
                        <a:gd name="csY29" fmla="*/ 0 h 7477125"/>
                        <a:gd name="csX30" fmla="*/ 14725650 w 14725650"/>
                        <a:gd name="csY30" fmla="*/ 425621 h 7477125"/>
                        <a:gd name="csX31" fmla="*/ 14725650 w 14725650"/>
                        <a:gd name="csY31" fmla="*/ 1075556 h 7477125"/>
                        <a:gd name="csX32" fmla="*/ 14725650 w 14725650"/>
                        <a:gd name="csY32" fmla="*/ 1725490 h 7477125"/>
                        <a:gd name="csX33" fmla="*/ 14725650 w 14725650"/>
                        <a:gd name="csY33" fmla="*/ 2450196 h 7477125"/>
                        <a:gd name="csX34" fmla="*/ 14725650 w 14725650"/>
                        <a:gd name="csY34" fmla="*/ 3025360 h 7477125"/>
                        <a:gd name="csX35" fmla="*/ 14725650 w 14725650"/>
                        <a:gd name="csY35" fmla="*/ 3376210 h 7477125"/>
                        <a:gd name="csX36" fmla="*/ 14725650 w 14725650"/>
                        <a:gd name="csY36" fmla="*/ 4100915 h 7477125"/>
                        <a:gd name="csX37" fmla="*/ 14725650 w 14725650"/>
                        <a:gd name="csY37" fmla="*/ 4676079 h 7477125"/>
                        <a:gd name="csX38" fmla="*/ 14725650 w 14725650"/>
                        <a:gd name="csY38" fmla="*/ 5251242 h 7477125"/>
                        <a:gd name="csX39" fmla="*/ 14725650 w 14725650"/>
                        <a:gd name="csY39" fmla="*/ 5676863 h 7477125"/>
                        <a:gd name="csX40" fmla="*/ 14725650 w 14725650"/>
                        <a:gd name="csY40" fmla="*/ 6401569 h 7477125"/>
                        <a:gd name="csX41" fmla="*/ 14725650 w 14725650"/>
                        <a:gd name="csY41" fmla="*/ 6827190 h 7477125"/>
                        <a:gd name="csX42" fmla="*/ 14725650 w 14725650"/>
                        <a:gd name="csY42" fmla="*/ 7477125 h 7477125"/>
                        <a:gd name="csX43" fmla="*/ 14578394 w 14725650"/>
                        <a:gd name="csY43" fmla="*/ 7477125 h 7477125"/>
                        <a:gd name="csX44" fmla="*/ 14431137 w 14725650"/>
                        <a:gd name="csY44" fmla="*/ 7477125 h 7477125"/>
                        <a:gd name="csX45" fmla="*/ 13842111 w 14725650"/>
                        <a:gd name="csY45" fmla="*/ 7477125 h 7477125"/>
                        <a:gd name="csX46" fmla="*/ 13547598 w 14725650"/>
                        <a:gd name="csY46" fmla="*/ 7477125 h 7477125"/>
                        <a:gd name="csX47" fmla="*/ 12664059 w 14725650"/>
                        <a:gd name="csY47" fmla="*/ 7477125 h 7477125"/>
                        <a:gd name="csX48" fmla="*/ 11927777 w 14725650"/>
                        <a:gd name="csY48" fmla="*/ 7477125 h 7477125"/>
                        <a:gd name="csX49" fmla="*/ 11486007 w 14725650"/>
                        <a:gd name="csY49" fmla="*/ 7477125 h 7477125"/>
                        <a:gd name="csX50" fmla="*/ 10602468 w 14725650"/>
                        <a:gd name="csY50" fmla="*/ 7477125 h 7477125"/>
                        <a:gd name="csX51" fmla="*/ 10013442 w 14725650"/>
                        <a:gd name="csY51" fmla="*/ 7477125 h 7477125"/>
                        <a:gd name="csX52" fmla="*/ 9718929 w 14725650"/>
                        <a:gd name="csY52" fmla="*/ 7477125 h 7477125"/>
                        <a:gd name="csX53" fmla="*/ 8835390 w 14725650"/>
                        <a:gd name="csY53" fmla="*/ 7477125 h 7477125"/>
                        <a:gd name="csX54" fmla="*/ 8540877 w 14725650"/>
                        <a:gd name="csY54" fmla="*/ 7477125 h 7477125"/>
                        <a:gd name="csX55" fmla="*/ 8246364 w 14725650"/>
                        <a:gd name="csY55" fmla="*/ 7477125 h 7477125"/>
                        <a:gd name="csX56" fmla="*/ 7657338 w 14725650"/>
                        <a:gd name="csY56" fmla="*/ 7477125 h 7477125"/>
                        <a:gd name="csX57" fmla="*/ 6921056 w 14725650"/>
                        <a:gd name="csY57" fmla="*/ 7477125 h 7477125"/>
                        <a:gd name="csX58" fmla="*/ 6037516 w 14725650"/>
                        <a:gd name="csY58" fmla="*/ 7477125 h 7477125"/>
                        <a:gd name="csX59" fmla="*/ 5743003 w 14725650"/>
                        <a:gd name="csY59" fmla="*/ 7477125 h 7477125"/>
                        <a:gd name="csX60" fmla="*/ 5595747 w 14725650"/>
                        <a:gd name="csY60" fmla="*/ 7477125 h 7477125"/>
                        <a:gd name="csX61" fmla="*/ 4712208 w 14725650"/>
                        <a:gd name="csY61" fmla="*/ 7477125 h 7477125"/>
                        <a:gd name="csX62" fmla="*/ 4417695 w 14725650"/>
                        <a:gd name="csY62" fmla="*/ 7477125 h 7477125"/>
                        <a:gd name="csX63" fmla="*/ 4270438 w 14725650"/>
                        <a:gd name="csY63" fmla="*/ 7477125 h 7477125"/>
                        <a:gd name="csX64" fmla="*/ 3534156 w 14725650"/>
                        <a:gd name="csY64" fmla="*/ 7477125 h 7477125"/>
                        <a:gd name="csX65" fmla="*/ 3386899 w 14725650"/>
                        <a:gd name="csY65" fmla="*/ 7477125 h 7477125"/>
                        <a:gd name="csX66" fmla="*/ 2503360 w 14725650"/>
                        <a:gd name="csY66" fmla="*/ 7477125 h 7477125"/>
                        <a:gd name="csX67" fmla="*/ 1914334 w 14725650"/>
                        <a:gd name="csY67" fmla="*/ 7477125 h 7477125"/>
                        <a:gd name="csX68" fmla="*/ 1472565 w 14725650"/>
                        <a:gd name="csY68" fmla="*/ 7477125 h 7477125"/>
                        <a:gd name="csX69" fmla="*/ 1325308 w 14725650"/>
                        <a:gd name="csY69" fmla="*/ 7477125 h 7477125"/>
                        <a:gd name="csX70" fmla="*/ 1178052 w 14725650"/>
                        <a:gd name="csY70" fmla="*/ 7477125 h 7477125"/>
                        <a:gd name="csX71" fmla="*/ 589026 w 14725650"/>
                        <a:gd name="csY71" fmla="*/ 7477125 h 7477125"/>
                        <a:gd name="csX72" fmla="*/ 0 w 14725650"/>
                        <a:gd name="csY72" fmla="*/ 7477125 h 7477125"/>
                        <a:gd name="csX73" fmla="*/ 0 w 14725650"/>
                        <a:gd name="csY73" fmla="*/ 6901962 h 7477125"/>
                        <a:gd name="csX74" fmla="*/ 0 w 14725650"/>
                        <a:gd name="csY74" fmla="*/ 6401569 h 7477125"/>
                        <a:gd name="csX75" fmla="*/ 0 w 14725650"/>
                        <a:gd name="csY75" fmla="*/ 5975948 h 7477125"/>
                        <a:gd name="csX76" fmla="*/ 0 w 14725650"/>
                        <a:gd name="csY76" fmla="*/ 5550327 h 7477125"/>
                        <a:gd name="csX77" fmla="*/ 0 w 14725650"/>
                        <a:gd name="csY77" fmla="*/ 5124706 h 7477125"/>
                        <a:gd name="csX78" fmla="*/ 0 w 14725650"/>
                        <a:gd name="csY78" fmla="*/ 4474772 h 7477125"/>
                        <a:gd name="csX79" fmla="*/ 0 w 14725650"/>
                        <a:gd name="csY79" fmla="*/ 4049151 h 7477125"/>
                        <a:gd name="csX80" fmla="*/ 0 w 14725650"/>
                        <a:gd name="csY80" fmla="*/ 3473987 h 7477125"/>
                        <a:gd name="csX81" fmla="*/ 0 w 14725650"/>
                        <a:gd name="csY81" fmla="*/ 3048366 h 7477125"/>
                        <a:gd name="csX82" fmla="*/ 0 w 14725650"/>
                        <a:gd name="csY82" fmla="*/ 2323660 h 7477125"/>
                        <a:gd name="csX83" fmla="*/ 0 w 14725650"/>
                        <a:gd name="csY83" fmla="*/ 1673726 h 7477125"/>
                        <a:gd name="csX84" fmla="*/ 0 w 14725650"/>
                        <a:gd name="csY84" fmla="*/ 1098562 h 7477125"/>
                        <a:gd name="csX85" fmla="*/ 0 w 14725650"/>
                        <a:gd name="csY85" fmla="*/ 672941 h 7477125"/>
                        <a:gd name="csX86" fmla="*/ 0 w 14725650"/>
                        <a:gd name="csY86" fmla="*/ 0 h 74771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Lst>
                      <a:rect l="l" t="t" r="r" b="b"/>
                      <a:pathLst>
                        <a:path w="14725650" h="7477125" fill="none" extrusionOk="0">
                          <a:moveTo>
                            <a:pt x="0" y="0"/>
                          </a:moveTo>
                          <a:cubicBezTo>
                            <a:pt x="124531" y="-16357"/>
                            <a:pt x="295027" y="61066"/>
                            <a:pt x="589026" y="0"/>
                          </a:cubicBezTo>
                          <a:cubicBezTo>
                            <a:pt x="883025" y="-61066"/>
                            <a:pt x="810819" y="11963"/>
                            <a:pt x="883539" y="0"/>
                          </a:cubicBezTo>
                          <a:cubicBezTo>
                            <a:pt x="956259" y="-11963"/>
                            <a:pt x="1062569" y="24872"/>
                            <a:pt x="1178052" y="0"/>
                          </a:cubicBezTo>
                          <a:cubicBezTo>
                            <a:pt x="1293535" y="-24872"/>
                            <a:pt x="1387480" y="23934"/>
                            <a:pt x="1472565" y="0"/>
                          </a:cubicBezTo>
                          <a:cubicBezTo>
                            <a:pt x="1557650" y="-23934"/>
                            <a:pt x="1693434" y="29347"/>
                            <a:pt x="1767078" y="0"/>
                          </a:cubicBezTo>
                          <a:cubicBezTo>
                            <a:pt x="1840722" y="-29347"/>
                            <a:pt x="2009707" y="26407"/>
                            <a:pt x="2208848" y="0"/>
                          </a:cubicBezTo>
                          <a:cubicBezTo>
                            <a:pt x="2407989" y="-26407"/>
                            <a:pt x="2375898" y="26843"/>
                            <a:pt x="2503361" y="0"/>
                          </a:cubicBezTo>
                          <a:cubicBezTo>
                            <a:pt x="2630824" y="-26843"/>
                            <a:pt x="2826954" y="51177"/>
                            <a:pt x="2945130" y="0"/>
                          </a:cubicBezTo>
                          <a:cubicBezTo>
                            <a:pt x="3063306" y="-51177"/>
                            <a:pt x="3515596" y="64103"/>
                            <a:pt x="3681413" y="0"/>
                          </a:cubicBezTo>
                          <a:cubicBezTo>
                            <a:pt x="3847230" y="-64103"/>
                            <a:pt x="3916553" y="28537"/>
                            <a:pt x="3975926" y="0"/>
                          </a:cubicBezTo>
                          <a:cubicBezTo>
                            <a:pt x="4035299" y="-28537"/>
                            <a:pt x="4080134" y="6537"/>
                            <a:pt x="4123182" y="0"/>
                          </a:cubicBezTo>
                          <a:cubicBezTo>
                            <a:pt x="4166230" y="-6537"/>
                            <a:pt x="4676479" y="24390"/>
                            <a:pt x="5006721" y="0"/>
                          </a:cubicBezTo>
                          <a:cubicBezTo>
                            <a:pt x="5336963" y="-24390"/>
                            <a:pt x="5113839" y="756"/>
                            <a:pt x="5153978" y="0"/>
                          </a:cubicBezTo>
                          <a:cubicBezTo>
                            <a:pt x="5194117" y="-756"/>
                            <a:pt x="5590690" y="20344"/>
                            <a:pt x="5743004" y="0"/>
                          </a:cubicBezTo>
                          <a:cubicBezTo>
                            <a:pt x="5895318" y="-20344"/>
                            <a:pt x="5832510" y="15426"/>
                            <a:pt x="5890260" y="0"/>
                          </a:cubicBezTo>
                          <a:cubicBezTo>
                            <a:pt x="5948010" y="-15426"/>
                            <a:pt x="6291731" y="52865"/>
                            <a:pt x="6626543" y="0"/>
                          </a:cubicBezTo>
                          <a:cubicBezTo>
                            <a:pt x="6961355" y="-52865"/>
                            <a:pt x="7071490" y="50746"/>
                            <a:pt x="7215569" y="0"/>
                          </a:cubicBezTo>
                          <a:cubicBezTo>
                            <a:pt x="7359648" y="-50746"/>
                            <a:pt x="7669832" y="26508"/>
                            <a:pt x="7951851" y="0"/>
                          </a:cubicBezTo>
                          <a:cubicBezTo>
                            <a:pt x="8233870" y="-26508"/>
                            <a:pt x="8292641" y="29411"/>
                            <a:pt x="8540877" y="0"/>
                          </a:cubicBezTo>
                          <a:cubicBezTo>
                            <a:pt x="8789113" y="-29411"/>
                            <a:pt x="9089793" y="22119"/>
                            <a:pt x="9277160" y="0"/>
                          </a:cubicBezTo>
                          <a:cubicBezTo>
                            <a:pt x="9464527" y="-22119"/>
                            <a:pt x="9826632" y="28407"/>
                            <a:pt x="10013442" y="0"/>
                          </a:cubicBezTo>
                          <a:cubicBezTo>
                            <a:pt x="10200252" y="-28407"/>
                            <a:pt x="10599843" y="95239"/>
                            <a:pt x="10896981" y="0"/>
                          </a:cubicBezTo>
                          <a:cubicBezTo>
                            <a:pt x="11194119" y="-95239"/>
                            <a:pt x="10974074" y="10676"/>
                            <a:pt x="11044238" y="0"/>
                          </a:cubicBezTo>
                          <a:cubicBezTo>
                            <a:pt x="11114402" y="-10676"/>
                            <a:pt x="11139225" y="11369"/>
                            <a:pt x="11191494" y="0"/>
                          </a:cubicBezTo>
                          <a:cubicBezTo>
                            <a:pt x="11243763" y="-11369"/>
                            <a:pt x="11695077" y="4578"/>
                            <a:pt x="12075033" y="0"/>
                          </a:cubicBezTo>
                          <a:cubicBezTo>
                            <a:pt x="12454989" y="-4578"/>
                            <a:pt x="12315035" y="23781"/>
                            <a:pt x="12516803" y="0"/>
                          </a:cubicBezTo>
                          <a:cubicBezTo>
                            <a:pt x="12718571" y="-23781"/>
                            <a:pt x="13151017" y="13713"/>
                            <a:pt x="13400342" y="0"/>
                          </a:cubicBezTo>
                          <a:cubicBezTo>
                            <a:pt x="13649667" y="-13713"/>
                            <a:pt x="13741256" y="638"/>
                            <a:pt x="13842111" y="0"/>
                          </a:cubicBezTo>
                          <a:cubicBezTo>
                            <a:pt x="13942966" y="-638"/>
                            <a:pt x="14404695" y="79797"/>
                            <a:pt x="14725650" y="0"/>
                          </a:cubicBezTo>
                          <a:cubicBezTo>
                            <a:pt x="14755376" y="144612"/>
                            <a:pt x="14687014" y="239457"/>
                            <a:pt x="14725650" y="425621"/>
                          </a:cubicBezTo>
                          <a:cubicBezTo>
                            <a:pt x="14764286" y="611785"/>
                            <a:pt x="14721581" y="834538"/>
                            <a:pt x="14725650" y="1075556"/>
                          </a:cubicBezTo>
                          <a:cubicBezTo>
                            <a:pt x="14729719" y="1316574"/>
                            <a:pt x="14710927" y="1557839"/>
                            <a:pt x="14725650" y="1725490"/>
                          </a:cubicBezTo>
                          <a:cubicBezTo>
                            <a:pt x="14740373" y="1893141"/>
                            <a:pt x="14690329" y="2209409"/>
                            <a:pt x="14725650" y="2450196"/>
                          </a:cubicBezTo>
                          <a:cubicBezTo>
                            <a:pt x="14760971" y="2690983"/>
                            <a:pt x="14709000" y="2861437"/>
                            <a:pt x="14725650" y="3025360"/>
                          </a:cubicBezTo>
                          <a:cubicBezTo>
                            <a:pt x="14742300" y="3189283"/>
                            <a:pt x="14691226" y="3253049"/>
                            <a:pt x="14725650" y="3376210"/>
                          </a:cubicBezTo>
                          <a:cubicBezTo>
                            <a:pt x="14760074" y="3499371"/>
                            <a:pt x="14709107" y="3747572"/>
                            <a:pt x="14725650" y="4100915"/>
                          </a:cubicBezTo>
                          <a:cubicBezTo>
                            <a:pt x="14742193" y="4454259"/>
                            <a:pt x="14720421" y="4506714"/>
                            <a:pt x="14725650" y="4676079"/>
                          </a:cubicBezTo>
                          <a:cubicBezTo>
                            <a:pt x="14730879" y="4845444"/>
                            <a:pt x="14716767" y="5035920"/>
                            <a:pt x="14725650" y="5251242"/>
                          </a:cubicBezTo>
                          <a:cubicBezTo>
                            <a:pt x="14734533" y="5466564"/>
                            <a:pt x="14681143" y="5590689"/>
                            <a:pt x="14725650" y="5676863"/>
                          </a:cubicBezTo>
                          <a:cubicBezTo>
                            <a:pt x="14770157" y="5763037"/>
                            <a:pt x="14662998" y="6078315"/>
                            <a:pt x="14725650" y="6401569"/>
                          </a:cubicBezTo>
                          <a:cubicBezTo>
                            <a:pt x="14788302" y="6724823"/>
                            <a:pt x="14685102" y="6705656"/>
                            <a:pt x="14725650" y="6827190"/>
                          </a:cubicBezTo>
                          <a:cubicBezTo>
                            <a:pt x="14766198" y="6948724"/>
                            <a:pt x="14657259" y="7212000"/>
                            <a:pt x="14725650" y="7477125"/>
                          </a:cubicBezTo>
                          <a:cubicBezTo>
                            <a:pt x="14689437" y="7486868"/>
                            <a:pt x="14641480" y="7469840"/>
                            <a:pt x="14578394" y="7477125"/>
                          </a:cubicBezTo>
                          <a:cubicBezTo>
                            <a:pt x="14515308" y="7484410"/>
                            <a:pt x="14485821" y="7462982"/>
                            <a:pt x="14431137" y="7477125"/>
                          </a:cubicBezTo>
                          <a:cubicBezTo>
                            <a:pt x="14376453" y="7491268"/>
                            <a:pt x="14076920" y="7422143"/>
                            <a:pt x="13842111" y="7477125"/>
                          </a:cubicBezTo>
                          <a:cubicBezTo>
                            <a:pt x="13607302" y="7532107"/>
                            <a:pt x="13622067" y="7455044"/>
                            <a:pt x="13547598" y="7477125"/>
                          </a:cubicBezTo>
                          <a:cubicBezTo>
                            <a:pt x="13473129" y="7499206"/>
                            <a:pt x="12865847" y="7407207"/>
                            <a:pt x="12664059" y="7477125"/>
                          </a:cubicBezTo>
                          <a:cubicBezTo>
                            <a:pt x="12462271" y="7547043"/>
                            <a:pt x="12282305" y="7417544"/>
                            <a:pt x="11927777" y="7477125"/>
                          </a:cubicBezTo>
                          <a:cubicBezTo>
                            <a:pt x="11573249" y="7536706"/>
                            <a:pt x="11575884" y="7463203"/>
                            <a:pt x="11486007" y="7477125"/>
                          </a:cubicBezTo>
                          <a:cubicBezTo>
                            <a:pt x="11396130" y="7491047"/>
                            <a:pt x="11008977" y="7406071"/>
                            <a:pt x="10602468" y="7477125"/>
                          </a:cubicBezTo>
                          <a:cubicBezTo>
                            <a:pt x="10195959" y="7548179"/>
                            <a:pt x="10207334" y="7426012"/>
                            <a:pt x="10013442" y="7477125"/>
                          </a:cubicBezTo>
                          <a:cubicBezTo>
                            <a:pt x="9819550" y="7528238"/>
                            <a:pt x="9817489" y="7451954"/>
                            <a:pt x="9718929" y="7477125"/>
                          </a:cubicBezTo>
                          <a:cubicBezTo>
                            <a:pt x="9620369" y="7502296"/>
                            <a:pt x="9248501" y="7474608"/>
                            <a:pt x="8835390" y="7477125"/>
                          </a:cubicBezTo>
                          <a:cubicBezTo>
                            <a:pt x="8422279" y="7479642"/>
                            <a:pt x="8618064" y="7470857"/>
                            <a:pt x="8540877" y="7477125"/>
                          </a:cubicBezTo>
                          <a:cubicBezTo>
                            <a:pt x="8463690" y="7483393"/>
                            <a:pt x="8335291" y="7470064"/>
                            <a:pt x="8246364" y="7477125"/>
                          </a:cubicBezTo>
                          <a:cubicBezTo>
                            <a:pt x="8157437" y="7484186"/>
                            <a:pt x="7854324" y="7446245"/>
                            <a:pt x="7657338" y="7477125"/>
                          </a:cubicBezTo>
                          <a:cubicBezTo>
                            <a:pt x="7460352" y="7508005"/>
                            <a:pt x="7139996" y="7415655"/>
                            <a:pt x="6921056" y="7477125"/>
                          </a:cubicBezTo>
                          <a:cubicBezTo>
                            <a:pt x="6702116" y="7538595"/>
                            <a:pt x="6468800" y="7387894"/>
                            <a:pt x="6037516" y="7477125"/>
                          </a:cubicBezTo>
                          <a:cubicBezTo>
                            <a:pt x="5606232" y="7566356"/>
                            <a:pt x="5878846" y="7459211"/>
                            <a:pt x="5743003" y="7477125"/>
                          </a:cubicBezTo>
                          <a:cubicBezTo>
                            <a:pt x="5607160" y="7495039"/>
                            <a:pt x="5645184" y="7464459"/>
                            <a:pt x="5595747" y="7477125"/>
                          </a:cubicBezTo>
                          <a:cubicBezTo>
                            <a:pt x="5546310" y="7489791"/>
                            <a:pt x="4897295" y="7413741"/>
                            <a:pt x="4712208" y="7477125"/>
                          </a:cubicBezTo>
                          <a:cubicBezTo>
                            <a:pt x="4527121" y="7540509"/>
                            <a:pt x="4527905" y="7475346"/>
                            <a:pt x="4417695" y="7477125"/>
                          </a:cubicBezTo>
                          <a:cubicBezTo>
                            <a:pt x="4307485" y="7478904"/>
                            <a:pt x="4312817" y="7471299"/>
                            <a:pt x="4270438" y="7477125"/>
                          </a:cubicBezTo>
                          <a:cubicBezTo>
                            <a:pt x="4228059" y="7482951"/>
                            <a:pt x="3724958" y="7411462"/>
                            <a:pt x="3534156" y="7477125"/>
                          </a:cubicBezTo>
                          <a:cubicBezTo>
                            <a:pt x="3343354" y="7542788"/>
                            <a:pt x="3433448" y="7473166"/>
                            <a:pt x="3386899" y="7477125"/>
                          </a:cubicBezTo>
                          <a:cubicBezTo>
                            <a:pt x="3340350" y="7481084"/>
                            <a:pt x="2824051" y="7464367"/>
                            <a:pt x="2503360" y="7477125"/>
                          </a:cubicBezTo>
                          <a:cubicBezTo>
                            <a:pt x="2182669" y="7489883"/>
                            <a:pt x="2190487" y="7435702"/>
                            <a:pt x="1914334" y="7477125"/>
                          </a:cubicBezTo>
                          <a:cubicBezTo>
                            <a:pt x="1638181" y="7518548"/>
                            <a:pt x="1677658" y="7459731"/>
                            <a:pt x="1472565" y="7477125"/>
                          </a:cubicBezTo>
                          <a:cubicBezTo>
                            <a:pt x="1267472" y="7494519"/>
                            <a:pt x="1377759" y="7462272"/>
                            <a:pt x="1325308" y="7477125"/>
                          </a:cubicBezTo>
                          <a:cubicBezTo>
                            <a:pt x="1272857" y="7491978"/>
                            <a:pt x="1222082" y="7465737"/>
                            <a:pt x="1178052" y="7477125"/>
                          </a:cubicBezTo>
                          <a:cubicBezTo>
                            <a:pt x="1134022" y="7488513"/>
                            <a:pt x="772953" y="7409366"/>
                            <a:pt x="589026" y="7477125"/>
                          </a:cubicBezTo>
                          <a:cubicBezTo>
                            <a:pt x="405099" y="7544884"/>
                            <a:pt x="230618" y="7440947"/>
                            <a:pt x="0" y="7477125"/>
                          </a:cubicBezTo>
                          <a:cubicBezTo>
                            <a:pt x="-8435" y="7324725"/>
                            <a:pt x="22465" y="7091286"/>
                            <a:pt x="0" y="6901962"/>
                          </a:cubicBezTo>
                          <a:cubicBezTo>
                            <a:pt x="-22465" y="6712638"/>
                            <a:pt x="32346" y="6549449"/>
                            <a:pt x="0" y="6401569"/>
                          </a:cubicBezTo>
                          <a:cubicBezTo>
                            <a:pt x="-32346" y="6253689"/>
                            <a:pt x="30336" y="6079876"/>
                            <a:pt x="0" y="5975948"/>
                          </a:cubicBezTo>
                          <a:cubicBezTo>
                            <a:pt x="-30336" y="5872020"/>
                            <a:pt x="19535" y="5728675"/>
                            <a:pt x="0" y="5550327"/>
                          </a:cubicBezTo>
                          <a:cubicBezTo>
                            <a:pt x="-19535" y="5371979"/>
                            <a:pt x="18639" y="5245434"/>
                            <a:pt x="0" y="5124706"/>
                          </a:cubicBezTo>
                          <a:cubicBezTo>
                            <a:pt x="-18639" y="5003978"/>
                            <a:pt x="49417" y="4779209"/>
                            <a:pt x="0" y="4474772"/>
                          </a:cubicBezTo>
                          <a:cubicBezTo>
                            <a:pt x="-49417" y="4170335"/>
                            <a:pt x="36158" y="4198503"/>
                            <a:pt x="0" y="4049151"/>
                          </a:cubicBezTo>
                          <a:cubicBezTo>
                            <a:pt x="-36158" y="3899799"/>
                            <a:pt x="2018" y="3703580"/>
                            <a:pt x="0" y="3473987"/>
                          </a:cubicBezTo>
                          <a:cubicBezTo>
                            <a:pt x="-2018" y="3244394"/>
                            <a:pt x="31227" y="3142827"/>
                            <a:pt x="0" y="3048366"/>
                          </a:cubicBezTo>
                          <a:cubicBezTo>
                            <a:pt x="-31227" y="2953905"/>
                            <a:pt x="29756" y="2634746"/>
                            <a:pt x="0" y="2323660"/>
                          </a:cubicBezTo>
                          <a:cubicBezTo>
                            <a:pt x="-29756" y="2012574"/>
                            <a:pt x="2283" y="1974764"/>
                            <a:pt x="0" y="1673726"/>
                          </a:cubicBezTo>
                          <a:cubicBezTo>
                            <a:pt x="-2283" y="1372688"/>
                            <a:pt x="19602" y="1351473"/>
                            <a:pt x="0" y="1098562"/>
                          </a:cubicBezTo>
                          <a:cubicBezTo>
                            <a:pt x="-19602" y="845651"/>
                            <a:pt x="12041" y="862182"/>
                            <a:pt x="0" y="672941"/>
                          </a:cubicBezTo>
                          <a:cubicBezTo>
                            <a:pt x="-12041" y="483700"/>
                            <a:pt x="55864" y="175896"/>
                            <a:pt x="0" y="0"/>
                          </a:cubicBezTo>
                          <a:close/>
                        </a:path>
                        <a:path w="14725650" h="7477125" stroke="0" extrusionOk="0">
                          <a:moveTo>
                            <a:pt x="0" y="0"/>
                          </a:moveTo>
                          <a:cubicBezTo>
                            <a:pt x="180751" y="-17736"/>
                            <a:pt x="351177" y="31713"/>
                            <a:pt x="441770" y="0"/>
                          </a:cubicBezTo>
                          <a:cubicBezTo>
                            <a:pt x="532363" y="-31713"/>
                            <a:pt x="520620" y="9121"/>
                            <a:pt x="589026" y="0"/>
                          </a:cubicBezTo>
                          <a:cubicBezTo>
                            <a:pt x="657432" y="-9121"/>
                            <a:pt x="1274166" y="50167"/>
                            <a:pt x="1472565" y="0"/>
                          </a:cubicBezTo>
                          <a:cubicBezTo>
                            <a:pt x="1670964" y="-50167"/>
                            <a:pt x="1789827" y="34321"/>
                            <a:pt x="1914335" y="0"/>
                          </a:cubicBezTo>
                          <a:cubicBezTo>
                            <a:pt x="2038843" y="-34321"/>
                            <a:pt x="2223459" y="27091"/>
                            <a:pt x="2356104" y="0"/>
                          </a:cubicBezTo>
                          <a:cubicBezTo>
                            <a:pt x="2488749" y="-27091"/>
                            <a:pt x="3004839" y="1727"/>
                            <a:pt x="3239643" y="0"/>
                          </a:cubicBezTo>
                          <a:cubicBezTo>
                            <a:pt x="3474447" y="-1727"/>
                            <a:pt x="3389674" y="31942"/>
                            <a:pt x="3534156" y="0"/>
                          </a:cubicBezTo>
                          <a:cubicBezTo>
                            <a:pt x="3678638" y="-31942"/>
                            <a:pt x="4036043" y="63568"/>
                            <a:pt x="4417695" y="0"/>
                          </a:cubicBezTo>
                          <a:cubicBezTo>
                            <a:pt x="4799347" y="-63568"/>
                            <a:pt x="4898829" y="36573"/>
                            <a:pt x="5301234" y="0"/>
                          </a:cubicBezTo>
                          <a:cubicBezTo>
                            <a:pt x="5703639" y="-36573"/>
                            <a:pt x="5649719" y="54890"/>
                            <a:pt x="5890260" y="0"/>
                          </a:cubicBezTo>
                          <a:cubicBezTo>
                            <a:pt x="6130801" y="-54890"/>
                            <a:pt x="6507332" y="10021"/>
                            <a:pt x="6773799" y="0"/>
                          </a:cubicBezTo>
                          <a:cubicBezTo>
                            <a:pt x="7040266" y="-10021"/>
                            <a:pt x="7113975" y="105"/>
                            <a:pt x="7215569" y="0"/>
                          </a:cubicBezTo>
                          <a:cubicBezTo>
                            <a:pt x="7317163" y="-105"/>
                            <a:pt x="7453644" y="38607"/>
                            <a:pt x="7657338" y="0"/>
                          </a:cubicBezTo>
                          <a:cubicBezTo>
                            <a:pt x="7861032" y="-38607"/>
                            <a:pt x="8207477" y="62851"/>
                            <a:pt x="8393621" y="0"/>
                          </a:cubicBezTo>
                          <a:cubicBezTo>
                            <a:pt x="8579765" y="-62851"/>
                            <a:pt x="8691140" y="49323"/>
                            <a:pt x="8835390" y="0"/>
                          </a:cubicBezTo>
                          <a:cubicBezTo>
                            <a:pt x="8979640" y="-49323"/>
                            <a:pt x="9397013" y="35490"/>
                            <a:pt x="9718929" y="0"/>
                          </a:cubicBezTo>
                          <a:cubicBezTo>
                            <a:pt x="10040845" y="-35490"/>
                            <a:pt x="10287607" y="73742"/>
                            <a:pt x="10602468" y="0"/>
                          </a:cubicBezTo>
                          <a:cubicBezTo>
                            <a:pt x="10917329" y="-73742"/>
                            <a:pt x="11008448" y="44835"/>
                            <a:pt x="11191494" y="0"/>
                          </a:cubicBezTo>
                          <a:cubicBezTo>
                            <a:pt x="11374540" y="-44835"/>
                            <a:pt x="11526756" y="35460"/>
                            <a:pt x="11633264" y="0"/>
                          </a:cubicBezTo>
                          <a:cubicBezTo>
                            <a:pt x="11739772" y="-35460"/>
                            <a:pt x="11716890" y="14816"/>
                            <a:pt x="11780520" y="0"/>
                          </a:cubicBezTo>
                          <a:cubicBezTo>
                            <a:pt x="11844150" y="-14816"/>
                            <a:pt x="11954604" y="27505"/>
                            <a:pt x="12075033" y="0"/>
                          </a:cubicBezTo>
                          <a:cubicBezTo>
                            <a:pt x="12195462" y="-27505"/>
                            <a:pt x="12305394" y="12810"/>
                            <a:pt x="12369546" y="0"/>
                          </a:cubicBezTo>
                          <a:cubicBezTo>
                            <a:pt x="12433698" y="-12810"/>
                            <a:pt x="12638106" y="44779"/>
                            <a:pt x="12811316" y="0"/>
                          </a:cubicBezTo>
                          <a:cubicBezTo>
                            <a:pt x="12984526" y="-44779"/>
                            <a:pt x="13340529" y="33556"/>
                            <a:pt x="13694855" y="0"/>
                          </a:cubicBezTo>
                          <a:cubicBezTo>
                            <a:pt x="14049181" y="-33556"/>
                            <a:pt x="14296564" y="45174"/>
                            <a:pt x="14725650" y="0"/>
                          </a:cubicBezTo>
                          <a:cubicBezTo>
                            <a:pt x="14743339" y="168777"/>
                            <a:pt x="14697397" y="323247"/>
                            <a:pt x="14725650" y="500392"/>
                          </a:cubicBezTo>
                          <a:cubicBezTo>
                            <a:pt x="14753903" y="677537"/>
                            <a:pt x="14705111" y="873977"/>
                            <a:pt x="14725650" y="1075556"/>
                          </a:cubicBezTo>
                          <a:cubicBezTo>
                            <a:pt x="14746189" y="1277135"/>
                            <a:pt x="14713810" y="1574029"/>
                            <a:pt x="14725650" y="1800262"/>
                          </a:cubicBezTo>
                          <a:cubicBezTo>
                            <a:pt x="14737490" y="2026495"/>
                            <a:pt x="14656681" y="2151572"/>
                            <a:pt x="14725650" y="2450196"/>
                          </a:cubicBezTo>
                          <a:cubicBezTo>
                            <a:pt x="14794619" y="2748820"/>
                            <a:pt x="14701571" y="2687934"/>
                            <a:pt x="14725650" y="2801046"/>
                          </a:cubicBezTo>
                          <a:cubicBezTo>
                            <a:pt x="14749729" y="2914158"/>
                            <a:pt x="14678355" y="3170049"/>
                            <a:pt x="14725650" y="3301438"/>
                          </a:cubicBezTo>
                          <a:cubicBezTo>
                            <a:pt x="14772945" y="3432827"/>
                            <a:pt x="14711690" y="3874659"/>
                            <a:pt x="14725650" y="4026144"/>
                          </a:cubicBezTo>
                          <a:cubicBezTo>
                            <a:pt x="14739610" y="4177629"/>
                            <a:pt x="14714213" y="4414946"/>
                            <a:pt x="14725650" y="4601308"/>
                          </a:cubicBezTo>
                          <a:cubicBezTo>
                            <a:pt x="14737087" y="4787670"/>
                            <a:pt x="14658664" y="4980195"/>
                            <a:pt x="14725650" y="5251242"/>
                          </a:cubicBezTo>
                          <a:cubicBezTo>
                            <a:pt x="14792636" y="5522289"/>
                            <a:pt x="14688625" y="5604112"/>
                            <a:pt x="14725650" y="5751635"/>
                          </a:cubicBezTo>
                          <a:cubicBezTo>
                            <a:pt x="14762675" y="5899158"/>
                            <a:pt x="14659918" y="6203595"/>
                            <a:pt x="14725650" y="6326798"/>
                          </a:cubicBezTo>
                          <a:cubicBezTo>
                            <a:pt x="14791382" y="6450001"/>
                            <a:pt x="14601901" y="7204553"/>
                            <a:pt x="14725650" y="7477125"/>
                          </a:cubicBezTo>
                          <a:cubicBezTo>
                            <a:pt x="14655013" y="7502152"/>
                            <a:pt x="14548504" y="7456318"/>
                            <a:pt x="14431137" y="7477125"/>
                          </a:cubicBezTo>
                          <a:cubicBezTo>
                            <a:pt x="14313770" y="7497932"/>
                            <a:pt x="14320680" y="7462880"/>
                            <a:pt x="14283881" y="7477125"/>
                          </a:cubicBezTo>
                          <a:cubicBezTo>
                            <a:pt x="14247082" y="7491370"/>
                            <a:pt x="14057784" y="7476501"/>
                            <a:pt x="13989368" y="7477125"/>
                          </a:cubicBezTo>
                          <a:cubicBezTo>
                            <a:pt x="13920952" y="7477749"/>
                            <a:pt x="13690619" y="7430988"/>
                            <a:pt x="13547598" y="7477125"/>
                          </a:cubicBezTo>
                          <a:cubicBezTo>
                            <a:pt x="13404577" y="7523262"/>
                            <a:pt x="13154913" y="7431899"/>
                            <a:pt x="12958572" y="7477125"/>
                          </a:cubicBezTo>
                          <a:cubicBezTo>
                            <a:pt x="12762231" y="7522351"/>
                            <a:pt x="12732558" y="7444925"/>
                            <a:pt x="12664059" y="7477125"/>
                          </a:cubicBezTo>
                          <a:cubicBezTo>
                            <a:pt x="12595560" y="7509325"/>
                            <a:pt x="11979416" y="7428366"/>
                            <a:pt x="11780520" y="7477125"/>
                          </a:cubicBezTo>
                          <a:cubicBezTo>
                            <a:pt x="11581624" y="7525884"/>
                            <a:pt x="11387324" y="7431584"/>
                            <a:pt x="11191494" y="7477125"/>
                          </a:cubicBezTo>
                          <a:cubicBezTo>
                            <a:pt x="10995664" y="7522666"/>
                            <a:pt x="10656862" y="7383337"/>
                            <a:pt x="10307955" y="7477125"/>
                          </a:cubicBezTo>
                          <a:cubicBezTo>
                            <a:pt x="9959048" y="7570913"/>
                            <a:pt x="9796269" y="7425618"/>
                            <a:pt x="9571673" y="7477125"/>
                          </a:cubicBezTo>
                          <a:cubicBezTo>
                            <a:pt x="9347077" y="7528632"/>
                            <a:pt x="9291925" y="7435700"/>
                            <a:pt x="9129903" y="7477125"/>
                          </a:cubicBezTo>
                          <a:cubicBezTo>
                            <a:pt x="8967881" y="7518550"/>
                            <a:pt x="8689199" y="7453833"/>
                            <a:pt x="8393621" y="7477125"/>
                          </a:cubicBezTo>
                          <a:cubicBezTo>
                            <a:pt x="8098043" y="7500417"/>
                            <a:pt x="8163033" y="7476890"/>
                            <a:pt x="8099108" y="7477125"/>
                          </a:cubicBezTo>
                          <a:cubicBezTo>
                            <a:pt x="8035183" y="7477360"/>
                            <a:pt x="7784686" y="7424421"/>
                            <a:pt x="7510082" y="7477125"/>
                          </a:cubicBezTo>
                          <a:cubicBezTo>
                            <a:pt x="7235478" y="7529829"/>
                            <a:pt x="7426666" y="7461088"/>
                            <a:pt x="7362825" y="7477125"/>
                          </a:cubicBezTo>
                          <a:cubicBezTo>
                            <a:pt x="7298984" y="7493162"/>
                            <a:pt x="6664119" y="7402746"/>
                            <a:pt x="6479286" y="7477125"/>
                          </a:cubicBezTo>
                          <a:cubicBezTo>
                            <a:pt x="6294453" y="7551504"/>
                            <a:pt x="6122751" y="7445812"/>
                            <a:pt x="5890260" y="7477125"/>
                          </a:cubicBezTo>
                          <a:cubicBezTo>
                            <a:pt x="5657769" y="7508438"/>
                            <a:pt x="5255035" y="7432786"/>
                            <a:pt x="5006721" y="7477125"/>
                          </a:cubicBezTo>
                          <a:cubicBezTo>
                            <a:pt x="4758407" y="7521464"/>
                            <a:pt x="4685821" y="7461345"/>
                            <a:pt x="4564951" y="7477125"/>
                          </a:cubicBezTo>
                          <a:cubicBezTo>
                            <a:pt x="4444081" y="7492905"/>
                            <a:pt x="4373487" y="7445532"/>
                            <a:pt x="4270438" y="7477125"/>
                          </a:cubicBezTo>
                          <a:cubicBezTo>
                            <a:pt x="4167389" y="7508718"/>
                            <a:pt x="3834567" y="7467989"/>
                            <a:pt x="3681412" y="7477125"/>
                          </a:cubicBezTo>
                          <a:cubicBezTo>
                            <a:pt x="3528257" y="7486261"/>
                            <a:pt x="3167772" y="7424766"/>
                            <a:pt x="2945130" y="7477125"/>
                          </a:cubicBezTo>
                          <a:cubicBezTo>
                            <a:pt x="2722488" y="7529484"/>
                            <a:pt x="2272711" y="7411220"/>
                            <a:pt x="2061591" y="7477125"/>
                          </a:cubicBezTo>
                          <a:cubicBezTo>
                            <a:pt x="1850471" y="7543030"/>
                            <a:pt x="1626200" y="7400810"/>
                            <a:pt x="1325308" y="7477125"/>
                          </a:cubicBezTo>
                          <a:cubicBezTo>
                            <a:pt x="1024416" y="7553440"/>
                            <a:pt x="641347" y="7414047"/>
                            <a:pt x="0" y="7477125"/>
                          </a:cubicBezTo>
                          <a:cubicBezTo>
                            <a:pt x="-6738" y="7238332"/>
                            <a:pt x="66888" y="7034973"/>
                            <a:pt x="0" y="6827190"/>
                          </a:cubicBezTo>
                          <a:cubicBezTo>
                            <a:pt x="-66888" y="6619407"/>
                            <a:pt x="12551" y="6462278"/>
                            <a:pt x="0" y="6326798"/>
                          </a:cubicBezTo>
                          <a:cubicBezTo>
                            <a:pt x="-12551" y="6191318"/>
                            <a:pt x="28426" y="6004149"/>
                            <a:pt x="0" y="5826406"/>
                          </a:cubicBezTo>
                          <a:cubicBezTo>
                            <a:pt x="-28426" y="5648663"/>
                            <a:pt x="43792" y="5403233"/>
                            <a:pt x="0" y="5176471"/>
                          </a:cubicBezTo>
                          <a:cubicBezTo>
                            <a:pt x="-43792" y="4949709"/>
                            <a:pt x="8057" y="4750862"/>
                            <a:pt x="0" y="4601308"/>
                          </a:cubicBezTo>
                          <a:cubicBezTo>
                            <a:pt x="-8057" y="4451754"/>
                            <a:pt x="37944" y="4335852"/>
                            <a:pt x="0" y="4250458"/>
                          </a:cubicBezTo>
                          <a:cubicBezTo>
                            <a:pt x="-37944" y="4165064"/>
                            <a:pt x="43748" y="3944182"/>
                            <a:pt x="0" y="3750066"/>
                          </a:cubicBezTo>
                          <a:cubicBezTo>
                            <a:pt x="-43748" y="3555950"/>
                            <a:pt x="52929" y="3387853"/>
                            <a:pt x="0" y="3100131"/>
                          </a:cubicBezTo>
                          <a:cubicBezTo>
                            <a:pt x="-52929" y="2812410"/>
                            <a:pt x="23624" y="2759809"/>
                            <a:pt x="0" y="2674510"/>
                          </a:cubicBezTo>
                          <a:cubicBezTo>
                            <a:pt x="-23624" y="2589211"/>
                            <a:pt x="28555" y="2106677"/>
                            <a:pt x="0" y="1949804"/>
                          </a:cubicBezTo>
                          <a:cubicBezTo>
                            <a:pt x="-28555" y="1792931"/>
                            <a:pt x="56383" y="1456309"/>
                            <a:pt x="0" y="1225098"/>
                          </a:cubicBezTo>
                          <a:cubicBezTo>
                            <a:pt x="-56383" y="993887"/>
                            <a:pt x="1189" y="903493"/>
                            <a:pt x="0" y="649935"/>
                          </a:cubicBezTo>
                          <a:cubicBezTo>
                            <a:pt x="-1189" y="396377"/>
                            <a:pt x="38350" y="316235"/>
                            <a:pt x="0" y="0"/>
                          </a:cubicBezTo>
                          <a:close/>
                        </a:path>
                      </a:pathLst>
                    </a:custGeom>
                    <ask:type>
                      <ask:lineSketchNone/>
                    </ask:type>
                  </ask:lineSketchStyleProps>
                </a:ext>
              </a:extLst>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grpFill/>
            <a:ln w="12700" cap="flat" cmpd="sng">
              <a:solidFill>
                <a:srgbClr val="7F7F7F"/>
              </a:solidFill>
              <a:prstDash val="dash"/>
              <a:miter lim="800000"/>
              <a:headEnd type="diamond" w="sm" len="sm"/>
              <a:tailEnd type="none" w="sm" len="sm"/>
              <a:extLst>
                <a:ext uri="{C807C97D-BFC1-408E-A445-0C87EB9F89A2}">
                  <ask:lineSketchStyleProps xmlns:ask="http://schemas.microsoft.com/office/drawing/2018/sketchyshapes" sd="1263616630">
                    <a:custGeom>
                      <a:avLst/>
                      <a:gdLst>
                        <a:gd name="csX0" fmla="*/ 0 w 14725650"/>
                        <a:gd name="csY0" fmla="*/ 83146 h 7477125"/>
                        <a:gd name="csX1" fmla="*/ 83146 w 14725650"/>
                        <a:gd name="csY1" fmla="*/ 0 h 7477125"/>
                        <a:gd name="csX2" fmla="*/ 228740 w 14725650"/>
                        <a:gd name="csY2" fmla="*/ 0 h 7477125"/>
                        <a:gd name="csX3" fmla="*/ 519927 w 14725650"/>
                        <a:gd name="csY3" fmla="*/ 0 h 7477125"/>
                        <a:gd name="csX4" fmla="*/ 811114 w 14725650"/>
                        <a:gd name="csY4" fmla="*/ 0 h 7477125"/>
                        <a:gd name="csX5" fmla="*/ 1247895 w 14725650"/>
                        <a:gd name="csY5" fmla="*/ 0 h 7477125"/>
                        <a:gd name="csX6" fmla="*/ 2121456 w 14725650"/>
                        <a:gd name="csY6" fmla="*/ 0 h 7477125"/>
                        <a:gd name="csX7" fmla="*/ 2267050 w 14725650"/>
                        <a:gd name="csY7" fmla="*/ 0 h 7477125"/>
                        <a:gd name="csX8" fmla="*/ 2995018 w 14725650"/>
                        <a:gd name="csY8" fmla="*/ 0 h 7477125"/>
                        <a:gd name="csX9" fmla="*/ 3140611 w 14725650"/>
                        <a:gd name="csY9" fmla="*/ 0 h 7477125"/>
                        <a:gd name="csX10" fmla="*/ 3577392 w 14725650"/>
                        <a:gd name="csY10" fmla="*/ 0 h 7477125"/>
                        <a:gd name="csX11" fmla="*/ 3722986 w 14725650"/>
                        <a:gd name="csY11" fmla="*/ 0 h 7477125"/>
                        <a:gd name="csX12" fmla="*/ 3868579 w 14725650"/>
                        <a:gd name="csY12" fmla="*/ 0 h 7477125"/>
                        <a:gd name="csX13" fmla="*/ 4742141 w 14725650"/>
                        <a:gd name="csY13" fmla="*/ 0 h 7477125"/>
                        <a:gd name="csX14" fmla="*/ 4887734 w 14725650"/>
                        <a:gd name="csY14" fmla="*/ 0 h 7477125"/>
                        <a:gd name="csX15" fmla="*/ 5178921 w 14725650"/>
                        <a:gd name="csY15" fmla="*/ 0 h 7477125"/>
                        <a:gd name="csX16" fmla="*/ 5615702 w 14725650"/>
                        <a:gd name="csY16" fmla="*/ 0 h 7477125"/>
                        <a:gd name="csX17" fmla="*/ 5761296 w 14725650"/>
                        <a:gd name="csY17" fmla="*/ 0 h 7477125"/>
                        <a:gd name="csX18" fmla="*/ 5906889 w 14725650"/>
                        <a:gd name="csY18" fmla="*/ 0 h 7477125"/>
                        <a:gd name="csX19" fmla="*/ 6489264 w 14725650"/>
                        <a:gd name="csY19" fmla="*/ 0 h 7477125"/>
                        <a:gd name="csX20" fmla="*/ 7217231 w 14725650"/>
                        <a:gd name="csY20" fmla="*/ 0 h 7477125"/>
                        <a:gd name="csX21" fmla="*/ 7945199 w 14725650"/>
                        <a:gd name="csY21" fmla="*/ 0 h 7477125"/>
                        <a:gd name="csX22" fmla="*/ 8090793 w 14725650"/>
                        <a:gd name="csY22" fmla="*/ 0 h 7477125"/>
                        <a:gd name="csX23" fmla="*/ 8673167 w 14725650"/>
                        <a:gd name="csY23" fmla="*/ 0 h 7477125"/>
                        <a:gd name="csX24" fmla="*/ 8818761 w 14725650"/>
                        <a:gd name="csY24" fmla="*/ 0 h 7477125"/>
                        <a:gd name="csX25" fmla="*/ 9401135 w 14725650"/>
                        <a:gd name="csY25" fmla="*/ 0 h 7477125"/>
                        <a:gd name="csX26" fmla="*/ 10274697 w 14725650"/>
                        <a:gd name="csY26" fmla="*/ 0 h 7477125"/>
                        <a:gd name="csX27" fmla="*/ 11002665 w 14725650"/>
                        <a:gd name="csY27" fmla="*/ 0 h 7477125"/>
                        <a:gd name="csX28" fmla="*/ 11293852 w 14725650"/>
                        <a:gd name="csY28" fmla="*/ 0 h 7477125"/>
                        <a:gd name="csX29" fmla="*/ 11585039 w 14725650"/>
                        <a:gd name="csY29" fmla="*/ 0 h 7477125"/>
                        <a:gd name="csX30" fmla="*/ 11876226 w 14725650"/>
                        <a:gd name="csY30" fmla="*/ 0 h 7477125"/>
                        <a:gd name="csX31" fmla="*/ 12021820 w 14725650"/>
                        <a:gd name="csY31" fmla="*/ 0 h 7477125"/>
                        <a:gd name="csX32" fmla="*/ 12167413 w 14725650"/>
                        <a:gd name="csY32" fmla="*/ 0 h 7477125"/>
                        <a:gd name="csX33" fmla="*/ 12604194 w 14725650"/>
                        <a:gd name="csY33" fmla="*/ 0 h 7477125"/>
                        <a:gd name="csX34" fmla="*/ 13186568 w 14725650"/>
                        <a:gd name="csY34" fmla="*/ 0 h 7477125"/>
                        <a:gd name="csX35" fmla="*/ 13332162 w 14725650"/>
                        <a:gd name="csY35" fmla="*/ 0 h 7477125"/>
                        <a:gd name="csX36" fmla="*/ 13623349 w 14725650"/>
                        <a:gd name="csY36" fmla="*/ 0 h 7477125"/>
                        <a:gd name="csX37" fmla="*/ 13768943 w 14725650"/>
                        <a:gd name="csY37" fmla="*/ 0 h 7477125"/>
                        <a:gd name="csX38" fmla="*/ 14642504 w 14725650"/>
                        <a:gd name="csY38" fmla="*/ 0 h 7477125"/>
                        <a:gd name="csX39" fmla="*/ 14725650 w 14725650"/>
                        <a:gd name="csY39" fmla="*/ 83146 h 7477125"/>
                        <a:gd name="csX40" fmla="*/ 14725650 w 14725650"/>
                        <a:gd name="csY40" fmla="*/ 791734 h 7477125"/>
                        <a:gd name="csX41" fmla="*/ 14725650 w 14725650"/>
                        <a:gd name="csY41" fmla="*/ 1354106 h 7477125"/>
                        <a:gd name="csX42" fmla="*/ 14725650 w 14725650"/>
                        <a:gd name="csY42" fmla="*/ 1916478 h 7477125"/>
                        <a:gd name="csX43" fmla="*/ 14725650 w 14725650"/>
                        <a:gd name="csY43" fmla="*/ 2259525 h 7477125"/>
                        <a:gd name="csX44" fmla="*/ 14725650 w 14725650"/>
                        <a:gd name="csY44" fmla="*/ 2675680 h 7477125"/>
                        <a:gd name="csX45" fmla="*/ 14725650 w 14725650"/>
                        <a:gd name="csY45" fmla="*/ 3091835 h 7477125"/>
                        <a:gd name="csX46" fmla="*/ 14725650 w 14725650"/>
                        <a:gd name="csY46" fmla="*/ 3434882 h 7477125"/>
                        <a:gd name="csX47" fmla="*/ 14725650 w 14725650"/>
                        <a:gd name="csY47" fmla="*/ 3851037 h 7477125"/>
                        <a:gd name="csX48" fmla="*/ 14725650 w 14725650"/>
                        <a:gd name="csY48" fmla="*/ 4486517 h 7477125"/>
                        <a:gd name="csX49" fmla="*/ 14725650 w 14725650"/>
                        <a:gd name="csY49" fmla="*/ 5121997 h 7477125"/>
                        <a:gd name="csX50" fmla="*/ 14725650 w 14725650"/>
                        <a:gd name="csY50" fmla="*/ 5465044 h 7477125"/>
                        <a:gd name="csX51" fmla="*/ 14725650 w 14725650"/>
                        <a:gd name="csY51" fmla="*/ 5808091 h 7477125"/>
                        <a:gd name="csX52" fmla="*/ 14725650 w 14725650"/>
                        <a:gd name="csY52" fmla="*/ 6224246 h 7477125"/>
                        <a:gd name="csX53" fmla="*/ 14725650 w 14725650"/>
                        <a:gd name="csY53" fmla="*/ 6786617 h 7477125"/>
                        <a:gd name="csX54" fmla="*/ 14725650 w 14725650"/>
                        <a:gd name="csY54" fmla="*/ 7393979 h 7477125"/>
                        <a:gd name="csX55" fmla="*/ 14642504 w 14725650"/>
                        <a:gd name="csY55" fmla="*/ 7477125 h 7477125"/>
                        <a:gd name="csX56" fmla="*/ 14496910 w 14725650"/>
                        <a:gd name="csY56" fmla="*/ 7477125 h 7477125"/>
                        <a:gd name="csX57" fmla="*/ 14351317 w 14725650"/>
                        <a:gd name="csY57" fmla="*/ 7477125 h 7477125"/>
                        <a:gd name="csX58" fmla="*/ 13623349 w 14725650"/>
                        <a:gd name="csY58" fmla="*/ 7477125 h 7477125"/>
                        <a:gd name="csX59" fmla="*/ 12895381 w 14725650"/>
                        <a:gd name="csY59" fmla="*/ 7477125 h 7477125"/>
                        <a:gd name="csX60" fmla="*/ 12313007 w 14725650"/>
                        <a:gd name="csY60" fmla="*/ 7477125 h 7477125"/>
                        <a:gd name="csX61" fmla="*/ 11730632 w 14725650"/>
                        <a:gd name="csY61" fmla="*/ 7477125 h 7477125"/>
                        <a:gd name="csX62" fmla="*/ 11148258 w 14725650"/>
                        <a:gd name="csY62" fmla="*/ 7477125 h 7477125"/>
                        <a:gd name="csX63" fmla="*/ 10274697 w 14725650"/>
                        <a:gd name="csY63" fmla="*/ 7477125 h 7477125"/>
                        <a:gd name="csX64" fmla="*/ 9692322 w 14725650"/>
                        <a:gd name="csY64" fmla="*/ 7477125 h 7477125"/>
                        <a:gd name="csX65" fmla="*/ 9255542 w 14725650"/>
                        <a:gd name="csY65" fmla="*/ 7477125 h 7477125"/>
                        <a:gd name="csX66" fmla="*/ 8381980 w 14725650"/>
                        <a:gd name="csY66" fmla="*/ 7477125 h 7477125"/>
                        <a:gd name="csX67" fmla="*/ 7945199 w 14725650"/>
                        <a:gd name="csY67" fmla="*/ 7477125 h 7477125"/>
                        <a:gd name="csX68" fmla="*/ 7654012 w 14725650"/>
                        <a:gd name="csY68" fmla="*/ 7477125 h 7477125"/>
                        <a:gd name="csX69" fmla="*/ 7071638 w 14725650"/>
                        <a:gd name="csY69" fmla="*/ 7477125 h 7477125"/>
                        <a:gd name="csX70" fmla="*/ 6198076 w 14725650"/>
                        <a:gd name="csY70" fmla="*/ 7477125 h 7477125"/>
                        <a:gd name="csX71" fmla="*/ 5470108 w 14725650"/>
                        <a:gd name="csY71" fmla="*/ 7477125 h 7477125"/>
                        <a:gd name="csX72" fmla="*/ 5324515 w 14725650"/>
                        <a:gd name="csY72" fmla="*/ 7477125 h 7477125"/>
                        <a:gd name="csX73" fmla="*/ 5178921 w 14725650"/>
                        <a:gd name="csY73" fmla="*/ 7477125 h 7477125"/>
                        <a:gd name="csX74" fmla="*/ 5033328 w 14725650"/>
                        <a:gd name="csY74" fmla="*/ 7477125 h 7477125"/>
                        <a:gd name="csX75" fmla="*/ 4742141 w 14725650"/>
                        <a:gd name="csY75" fmla="*/ 7477125 h 7477125"/>
                        <a:gd name="csX76" fmla="*/ 4450953 w 14725650"/>
                        <a:gd name="csY76" fmla="*/ 7477125 h 7477125"/>
                        <a:gd name="csX77" fmla="*/ 3722985 w 14725650"/>
                        <a:gd name="csY77" fmla="*/ 7477125 h 7477125"/>
                        <a:gd name="csX78" fmla="*/ 3577392 w 14725650"/>
                        <a:gd name="csY78" fmla="*/ 7477125 h 7477125"/>
                        <a:gd name="csX79" fmla="*/ 3431798 w 14725650"/>
                        <a:gd name="csY79" fmla="*/ 7477125 h 7477125"/>
                        <a:gd name="csX80" fmla="*/ 2558237 w 14725650"/>
                        <a:gd name="csY80" fmla="*/ 7477125 h 7477125"/>
                        <a:gd name="csX81" fmla="*/ 1684675 w 14725650"/>
                        <a:gd name="csY81" fmla="*/ 7477125 h 7477125"/>
                        <a:gd name="csX82" fmla="*/ 811114 w 14725650"/>
                        <a:gd name="csY82" fmla="*/ 7477125 h 7477125"/>
                        <a:gd name="csX83" fmla="*/ 83146 w 14725650"/>
                        <a:gd name="csY83" fmla="*/ 7477125 h 7477125"/>
                        <a:gd name="csX84" fmla="*/ 0 w 14725650"/>
                        <a:gd name="csY84" fmla="*/ 7393979 h 7477125"/>
                        <a:gd name="csX85" fmla="*/ 0 w 14725650"/>
                        <a:gd name="csY85" fmla="*/ 7050932 h 7477125"/>
                        <a:gd name="csX86" fmla="*/ 0 w 14725650"/>
                        <a:gd name="csY86" fmla="*/ 6415452 h 7477125"/>
                        <a:gd name="csX87" fmla="*/ 0 w 14725650"/>
                        <a:gd name="csY87" fmla="*/ 5853080 h 7477125"/>
                        <a:gd name="csX88" fmla="*/ 0 w 14725650"/>
                        <a:gd name="csY88" fmla="*/ 5217600 h 7477125"/>
                        <a:gd name="csX89" fmla="*/ 0 w 14725650"/>
                        <a:gd name="csY89" fmla="*/ 4655228 h 7477125"/>
                        <a:gd name="csX90" fmla="*/ 0 w 14725650"/>
                        <a:gd name="csY90" fmla="*/ 3946640 h 7477125"/>
                        <a:gd name="csX91" fmla="*/ 0 w 14725650"/>
                        <a:gd name="csY91" fmla="*/ 3238052 h 7477125"/>
                        <a:gd name="csX92" fmla="*/ 0 w 14725650"/>
                        <a:gd name="csY92" fmla="*/ 2895005 h 7477125"/>
                        <a:gd name="csX93" fmla="*/ 0 w 14725650"/>
                        <a:gd name="csY93" fmla="*/ 2259525 h 7477125"/>
                        <a:gd name="csX94" fmla="*/ 0 w 14725650"/>
                        <a:gd name="csY94" fmla="*/ 1624045 h 7477125"/>
                        <a:gd name="csX95" fmla="*/ 0 w 14725650"/>
                        <a:gd name="csY95" fmla="*/ 1280998 h 7477125"/>
                        <a:gd name="csX96" fmla="*/ 0 w 14725650"/>
                        <a:gd name="csY96" fmla="*/ 718626 h 7477125"/>
                        <a:gd name="csX97" fmla="*/ 0 w 14725650"/>
                        <a:gd name="csY97" fmla="*/ 83146 h 74771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Lst>
                      <a:rect l="l" t="t" r="r" b="b"/>
                      <a:pathLst>
                        <a:path w="14725650" h="7477125" fill="none" extrusionOk="0">
                          <a:moveTo>
                            <a:pt x="0" y="83146"/>
                          </a:moveTo>
                          <a:cubicBezTo>
                            <a:pt x="559" y="34950"/>
                            <a:pt x="44889" y="-9625"/>
                            <a:pt x="83146" y="0"/>
                          </a:cubicBezTo>
                          <a:cubicBezTo>
                            <a:pt x="122409" y="-9708"/>
                            <a:pt x="174925" y="12875"/>
                            <a:pt x="228740" y="0"/>
                          </a:cubicBezTo>
                          <a:cubicBezTo>
                            <a:pt x="282555" y="-12875"/>
                            <a:pt x="429331" y="32246"/>
                            <a:pt x="519927" y="0"/>
                          </a:cubicBezTo>
                          <a:cubicBezTo>
                            <a:pt x="610523" y="-32246"/>
                            <a:pt x="694082" y="6117"/>
                            <a:pt x="811114" y="0"/>
                          </a:cubicBezTo>
                          <a:cubicBezTo>
                            <a:pt x="928146" y="-6117"/>
                            <a:pt x="1053523" y="36801"/>
                            <a:pt x="1247895" y="0"/>
                          </a:cubicBezTo>
                          <a:cubicBezTo>
                            <a:pt x="1442267" y="-36801"/>
                            <a:pt x="1741463" y="76682"/>
                            <a:pt x="2121456" y="0"/>
                          </a:cubicBezTo>
                          <a:cubicBezTo>
                            <a:pt x="2501449" y="-76682"/>
                            <a:pt x="2205078" y="13945"/>
                            <a:pt x="2267050" y="0"/>
                          </a:cubicBezTo>
                          <a:cubicBezTo>
                            <a:pt x="2329022" y="-13945"/>
                            <a:pt x="2787710" y="47714"/>
                            <a:pt x="2995018" y="0"/>
                          </a:cubicBezTo>
                          <a:cubicBezTo>
                            <a:pt x="3202326" y="-47714"/>
                            <a:pt x="3088478" y="7114"/>
                            <a:pt x="3140611" y="0"/>
                          </a:cubicBezTo>
                          <a:cubicBezTo>
                            <a:pt x="3192744" y="-7114"/>
                            <a:pt x="3466043" y="35164"/>
                            <a:pt x="3577392" y="0"/>
                          </a:cubicBezTo>
                          <a:cubicBezTo>
                            <a:pt x="3688741" y="-35164"/>
                            <a:pt x="3659595" y="12942"/>
                            <a:pt x="3722986" y="0"/>
                          </a:cubicBezTo>
                          <a:cubicBezTo>
                            <a:pt x="3786377" y="-12942"/>
                            <a:pt x="3805165" y="14564"/>
                            <a:pt x="3868579" y="0"/>
                          </a:cubicBezTo>
                          <a:cubicBezTo>
                            <a:pt x="3931993" y="-14564"/>
                            <a:pt x="4565530" y="83176"/>
                            <a:pt x="4742141" y="0"/>
                          </a:cubicBezTo>
                          <a:cubicBezTo>
                            <a:pt x="4918752" y="-83176"/>
                            <a:pt x="4857854" y="8932"/>
                            <a:pt x="4887734" y="0"/>
                          </a:cubicBezTo>
                          <a:cubicBezTo>
                            <a:pt x="4917614" y="-8932"/>
                            <a:pt x="5092930" y="31652"/>
                            <a:pt x="5178921" y="0"/>
                          </a:cubicBezTo>
                          <a:cubicBezTo>
                            <a:pt x="5264912" y="-31652"/>
                            <a:pt x="5508569" y="50516"/>
                            <a:pt x="5615702" y="0"/>
                          </a:cubicBezTo>
                          <a:cubicBezTo>
                            <a:pt x="5722835" y="-50516"/>
                            <a:pt x="5709892" y="375"/>
                            <a:pt x="5761296" y="0"/>
                          </a:cubicBezTo>
                          <a:cubicBezTo>
                            <a:pt x="5812700" y="-375"/>
                            <a:pt x="5842798" y="306"/>
                            <a:pt x="5906889" y="0"/>
                          </a:cubicBezTo>
                          <a:cubicBezTo>
                            <a:pt x="5970980" y="-306"/>
                            <a:pt x="6364891" y="69036"/>
                            <a:pt x="6489264" y="0"/>
                          </a:cubicBezTo>
                          <a:cubicBezTo>
                            <a:pt x="6613637" y="-69036"/>
                            <a:pt x="6969592" y="35213"/>
                            <a:pt x="7217231" y="0"/>
                          </a:cubicBezTo>
                          <a:cubicBezTo>
                            <a:pt x="7464870" y="-35213"/>
                            <a:pt x="7619948" y="77174"/>
                            <a:pt x="7945199" y="0"/>
                          </a:cubicBezTo>
                          <a:cubicBezTo>
                            <a:pt x="8270450" y="-77174"/>
                            <a:pt x="8040413" y="8612"/>
                            <a:pt x="8090793" y="0"/>
                          </a:cubicBezTo>
                          <a:cubicBezTo>
                            <a:pt x="8141173" y="-8612"/>
                            <a:pt x="8450831" y="34330"/>
                            <a:pt x="8673167" y="0"/>
                          </a:cubicBezTo>
                          <a:cubicBezTo>
                            <a:pt x="8895503" y="-34330"/>
                            <a:pt x="8764425" y="16852"/>
                            <a:pt x="8818761" y="0"/>
                          </a:cubicBezTo>
                          <a:cubicBezTo>
                            <a:pt x="8873097" y="-16852"/>
                            <a:pt x="9196612" y="40134"/>
                            <a:pt x="9401135" y="0"/>
                          </a:cubicBezTo>
                          <a:cubicBezTo>
                            <a:pt x="9605658" y="-40134"/>
                            <a:pt x="9964612" y="8691"/>
                            <a:pt x="10274697" y="0"/>
                          </a:cubicBezTo>
                          <a:cubicBezTo>
                            <a:pt x="10584782" y="-8691"/>
                            <a:pt x="10671414" y="69482"/>
                            <a:pt x="11002665" y="0"/>
                          </a:cubicBezTo>
                          <a:cubicBezTo>
                            <a:pt x="11333916" y="-69482"/>
                            <a:pt x="11149799" y="29218"/>
                            <a:pt x="11293852" y="0"/>
                          </a:cubicBezTo>
                          <a:cubicBezTo>
                            <a:pt x="11437905" y="-29218"/>
                            <a:pt x="11495460" y="20250"/>
                            <a:pt x="11585039" y="0"/>
                          </a:cubicBezTo>
                          <a:cubicBezTo>
                            <a:pt x="11674618" y="-20250"/>
                            <a:pt x="11794277" y="26139"/>
                            <a:pt x="11876226" y="0"/>
                          </a:cubicBezTo>
                          <a:cubicBezTo>
                            <a:pt x="11958175" y="-26139"/>
                            <a:pt x="11957294" y="3346"/>
                            <a:pt x="12021820" y="0"/>
                          </a:cubicBezTo>
                          <a:cubicBezTo>
                            <a:pt x="12086346" y="-3346"/>
                            <a:pt x="12110793" y="16706"/>
                            <a:pt x="12167413" y="0"/>
                          </a:cubicBezTo>
                          <a:cubicBezTo>
                            <a:pt x="12224033" y="-16706"/>
                            <a:pt x="12401496" y="49648"/>
                            <a:pt x="12604194" y="0"/>
                          </a:cubicBezTo>
                          <a:cubicBezTo>
                            <a:pt x="12806892" y="-49648"/>
                            <a:pt x="12978836" y="39194"/>
                            <a:pt x="13186568" y="0"/>
                          </a:cubicBezTo>
                          <a:cubicBezTo>
                            <a:pt x="13394300" y="-39194"/>
                            <a:pt x="13278443" y="6961"/>
                            <a:pt x="13332162" y="0"/>
                          </a:cubicBezTo>
                          <a:cubicBezTo>
                            <a:pt x="13385881" y="-6961"/>
                            <a:pt x="13550382" y="17517"/>
                            <a:pt x="13623349" y="0"/>
                          </a:cubicBezTo>
                          <a:cubicBezTo>
                            <a:pt x="13696316" y="-17517"/>
                            <a:pt x="13722916" y="11515"/>
                            <a:pt x="13768943" y="0"/>
                          </a:cubicBezTo>
                          <a:cubicBezTo>
                            <a:pt x="13814970" y="-11515"/>
                            <a:pt x="14467222" y="72352"/>
                            <a:pt x="14642504" y="0"/>
                          </a:cubicBezTo>
                          <a:cubicBezTo>
                            <a:pt x="14690008" y="764"/>
                            <a:pt x="14728772" y="37910"/>
                            <a:pt x="14725650" y="83146"/>
                          </a:cubicBezTo>
                          <a:cubicBezTo>
                            <a:pt x="14802529" y="286995"/>
                            <a:pt x="14705047" y="553109"/>
                            <a:pt x="14725650" y="791734"/>
                          </a:cubicBezTo>
                          <a:cubicBezTo>
                            <a:pt x="14746253" y="1030359"/>
                            <a:pt x="14703464" y="1232087"/>
                            <a:pt x="14725650" y="1354106"/>
                          </a:cubicBezTo>
                          <a:cubicBezTo>
                            <a:pt x="14747836" y="1476125"/>
                            <a:pt x="14720692" y="1653776"/>
                            <a:pt x="14725650" y="1916478"/>
                          </a:cubicBezTo>
                          <a:cubicBezTo>
                            <a:pt x="14730608" y="2179180"/>
                            <a:pt x="14719841" y="2113967"/>
                            <a:pt x="14725650" y="2259525"/>
                          </a:cubicBezTo>
                          <a:cubicBezTo>
                            <a:pt x="14731459" y="2405083"/>
                            <a:pt x="14696007" y="2468265"/>
                            <a:pt x="14725650" y="2675680"/>
                          </a:cubicBezTo>
                          <a:cubicBezTo>
                            <a:pt x="14755293" y="2883095"/>
                            <a:pt x="14694618" y="2948157"/>
                            <a:pt x="14725650" y="3091835"/>
                          </a:cubicBezTo>
                          <a:cubicBezTo>
                            <a:pt x="14756682" y="3235513"/>
                            <a:pt x="14688945" y="3357718"/>
                            <a:pt x="14725650" y="3434882"/>
                          </a:cubicBezTo>
                          <a:cubicBezTo>
                            <a:pt x="14762355" y="3512046"/>
                            <a:pt x="14717317" y="3762230"/>
                            <a:pt x="14725650" y="3851037"/>
                          </a:cubicBezTo>
                          <a:cubicBezTo>
                            <a:pt x="14733983" y="3939844"/>
                            <a:pt x="14677893" y="4253393"/>
                            <a:pt x="14725650" y="4486517"/>
                          </a:cubicBezTo>
                          <a:cubicBezTo>
                            <a:pt x="14773407" y="4719641"/>
                            <a:pt x="14650046" y="4869350"/>
                            <a:pt x="14725650" y="5121997"/>
                          </a:cubicBezTo>
                          <a:cubicBezTo>
                            <a:pt x="14801254" y="5374644"/>
                            <a:pt x="14702938" y="5327554"/>
                            <a:pt x="14725650" y="5465044"/>
                          </a:cubicBezTo>
                          <a:cubicBezTo>
                            <a:pt x="14748362" y="5602534"/>
                            <a:pt x="14716676" y="5682265"/>
                            <a:pt x="14725650" y="5808091"/>
                          </a:cubicBezTo>
                          <a:cubicBezTo>
                            <a:pt x="14734624" y="5933917"/>
                            <a:pt x="14701530" y="6105057"/>
                            <a:pt x="14725650" y="6224246"/>
                          </a:cubicBezTo>
                          <a:cubicBezTo>
                            <a:pt x="14749770" y="6343436"/>
                            <a:pt x="14715773" y="6637780"/>
                            <a:pt x="14725650" y="6786617"/>
                          </a:cubicBezTo>
                          <a:cubicBezTo>
                            <a:pt x="14735527" y="6935454"/>
                            <a:pt x="14669038" y="7164771"/>
                            <a:pt x="14725650" y="7393979"/>
                          </a:cubicBezTo>
                          <a:cubicBezTo>
                            <a:pt x="14725038" y="7440688"/>
                            <a:pt x="14696734" y="7483497"/>
                            <a:pt x="14642504" y="7477125"/>
                          </a:cubicBezTo>
                          <a:cubicBezTo>
                            <a:pt x="14589522" y="7481222"/>
                            <a:pt x="14530200" y="7475839"/>
                            <a:pt x="14496910" y="7477125"/>
                          </a:cubicBezTo>
                          <a:cubicBezTo>
                            <a:pt x="14463620" y="7478411"/>
                            <a:pt x="14394228" y="7463385"/>
                            <a:pt x="14351317" y="7477125"/>
                          </a:cubicBezTo>
                          <a:cubicBezTo>
                            <a:pt x="14308406" y="7490865"/>
                            <a:pt x="13971416" y="7460939"/>
                            <a:pt x="13623349" y="7477125"/>
                          </a:cubicBezTo>
                          <a:cubicBezTo>
                            <a:pt x="13275282" y="7493311"/>
                            <a:pt x="13212873" y="7438627"/>
                            <a:pt x="12895381" y="7477125"/>
                          </a:cubicBezTo>
                          <a:cubicBezTo>
                            <a:pt x="12577889" y="7515623"/>
                            <a:pt x="12527741" y="7436745"/>
                            <a:pt x="12313007" y="7477125"/>
                          </a:cubicBezTo>
                          <a:cubicBezTo>
                            <a:pt x="12098273" y="7517505"/>
                            <a:pt x="11996459" y="7434040"/>
                            <a:pt x="11730632" y="7477125"/>
                          </a:cubicBezTo>
                          <a:cubicBezTo>
                            <a:pt x="11464805" y="7520210"/>
                            <a:pt x="11273942" y="7471250"/>
                            <a:pt x="11148258" y="7477125"/>
                          </a:cubicBezTo>
                          <a:cubicBezTo>
                            <a:pt x="11022574" y="7483000"/>
                            <a:pt x="10649806" y="7456272"/>
                            <a:pt x="10274697" y="7477125"/>
                          </a:cubicBezTo>
                          <a:cubicBezTo>
                            <a:pt x="9899588" y="7497978"/>
                            <a:pt x="9821146" y="7464518"/>
                            <a:pt x="9692322" y="7477125"/>
                          </a:cubicBezTo>
                          <a:cubicBezTo>
                            <a:pt x="9563499" y="7489732"/>
                            <a:pt x="9384950" y="7440998"/>
                            <a:pt x="9255542" y="7477125"/>
                          </a:cubicBezTo>
                          <a:cubicBezTo>
                            <a:pt x="9126134" y="7513252"/>
                            <a:pt x="8650576" y="7464465"/>
                            <a:pt x="8381980" y="7477125"/>
                          </a:cubicBezTo>
                          <a:cubicBezTo>
                            <a:pt x="8113384" y="7489785"/>
                            <a:pt x="8143860" y="7453663"/>
                            <a:pt x="7945199" y="7477125"/>
                          </a:cubicBezTo>
                          <a:cubicBezTo>
                            <a:pt x="7746538" y="7500587"/>
                            <a:pt x="7715166" y="7457416"/>
                            <a:pt x="7654012" y="7477125"/>
                          </a:cubicBezTo>
                          <a:cubicBezTo>
                            <a:pt x="7592858" y="7496834"/>
                            <a:pt x="7310688" y="7444624"/>
                            <a:pt x="7071638" y="7477125"/>
                          </a:cubicBezTo>
                          <a:cubicBezTo>
                            <a:pt x="6832588" y="7509626"/>
                            <a:pt x="6406988" y="7447963"/>
                            <a:pt x="6198076" y="7477125"/>
                          </a:cubicBezTo>
                          <a:cubicBezTo>
                            <a:pt x="5989164" y="7506287"/>
                            <a:pt x="5762402" y="7442381"/>
                            <a:pt x="5470108" y="7477125"/>
                          </a:cubicBezTo>
                          <a:cubicBezTo>
                            <a:pt x="5177814" y="7511869"/>
                            <a:pt x="5396935" y="7459774"/>
                            <a:pt x="5324515" y="7477125"/>
                          </a:cubicBezTo>
                          <a:cubicBezTo>
                            <a:pt x="5252095" y="7494476"/>
                            <a:pt x="5243637" y="7468579"/>
                            <a:pt x="5178921" y="7477125"/>
                          </a:cubicBezTo>
                          <a:cubicBezTo>
                            <a:pt x="5114205" y="7485671"/>
                            <a:pt x="5090414" y="7464067"/>
                            <a:pt x="5033328" y="7477125"/>
                          </a:cubicBezTo>
                          <a:cubicBezTo>
                            <a:pt x="4976242" y="7490183"/>
                            <a:pt x="4871119" y="7449470"/>
                            <a:pt x="4742141" y="7477125"/>
                          </a:cubicBezTo>
                          <a:cubicBezTo>
                            <a:pt x="4613163" y="7504780"/>
                            <a:pt x="4592949" y="7464269"/>
                            <a:pt x="4450953" y="7477125"/>
                          </a:cubicBezTo>
                          <a:cubicBezTo>
                            <a:pt x="4308957" y="7489981"/>
                            <a:pt x="3868691" y="7391245"/>
                            <a:pt x="3722985" y="7477125"/>
                          </a:cubicBezTo>
                          <a:cubicBezTo>
                            <a:pt x="3577279" y="7563005"/>
                            <a:pt x="3646407" y="7466194"/>
                            <a:pt x="3577392" y="7477125"/>
                          </a:cubicBezTo>
                          <a:cubicBezTo>
                            <a:pt x="3508377" y="7488056"/>
                            <a:pt x="3504203" y="7471726"/>
                            <a:pt x="3431798" y="7477125"/>
                          </a:cubicBezTo>
                          <a:cubicBezTo>
                            <a:pt x="3359393" y="7482524"/>
                            <a:pt x="2883730" y="7383238"/>
                            <a:pt x="2558237" y="7477125"/>
                          </a:cubicBezTo>
                          <a:cubicBezTo>
                            <a:pt x="2232744" y="7571012"/>
                            <a:pt x="2101822" y="7379123"/>
                            <a:pt x="1684675" y="7477125"/>
                          </a:cubicBezTo>
                          <a:cubicBezTo>
                            <a:pt x="1267528" y="7575127"/>
                            <a:pt x="1127358" y="7454407"/>
                            <a:pt x="811114" y="7477125"/>
                          </a:cubicBezTo>
                          <a:cubicBezTo>
                            <a:pt x="494870" y="7499843"/>
                            <a:pt x="282111" y="7400693"/>
                            <a:pt x="83146" y="7477125"/>
                          </a:cubicBezTo>
                          <a:cubicBezTo>
                            <a:pt x="34302" y="7473290"/>
                            <a:pt x="-7999" y="7445759"/>
                            <a:pt x="0" y="7393979"/>
                          </a:cubicBezTo>
                          <a:cubicBezTo>
                            <a:pt x="-38320" y="7290142"/>
                            <a:pt x="4438" y="7173318"/>
                            <a:pt x="0" y="7050932"/>
                          </a:cubicBezTo>
                          <a:cubicBezTo>
                            <a:pt x="-4438" y="6928546"/>
                            <a:pt x="58547" y="6599838"/>
                            <a:pt x="0" y="6415452"/>
                          </a:cubicBezTo>
                          <a:cubicBezTo>
                            <a:pt x="-58547" y="6231066"/>
                            <a:pt x="55655" y="6022328"/>
                            <a:pt x="0" y="5853080"/>
                          </a:cubicBezTo>
                          <a:cubicBezTo>
                            <a:pt x="-55655" y="5683832"/>
                            <a:pt x="55398" y="5348105"/>
                            <a:pt x="0" y="5217600"/>
                          </a:cubicBezTo>
                          <a:cubicBezTo>
                            <a:pt x="-55398" y="5087095"/>
                            <a:pt x="26247" y="4792062"/>
                            <a:pt x="0" y="4655228"/>
                          </a:cubicBezTo>
                          <a:cubicBezTo>
                            <a:pt x="-26247" y="4518394"/>
                            <a:pt x="70529" y="4112260"/>
                            <a:pt x="0" y="3946640"/>
                          </a:cubicBezTo>
                          <a:cubicBezTo>
                            <a:pt x="-70529" y="3781020"/>
                            <a:pt x="76550" y="3447548"/>
                            <a:pt x="0" y="3238052"/>
                          </a:cubicBezTo>
                          <a:cubicBezTo>
                            <a:pt x="-76550" y="3028556"/>
                            <a:pt x="20520" y="2995296"/>
                            <a:pt x="0" y="2895005"/>
                          </a:cubicBezTo>
                          <a:cubicBezTo>
                            <a:pt x="-20520" y="2794714"/>
                            <a:pt x="40278" y="2521546"/>
                            <a:pt x="0" y="2259525"/>
                          </a:cubicBezTo>
                          <a:cubicBezTo>
                            <a:pt x="-40278" y="1997504"/>
                            <a:pt x="31905" y="1868386"/>
                            <a:pt x="0" y="1624045"/>
                          </a:cubicBezTo>
                          <a:cubicBezTo>
                            <a:pt x="-31905" y="1379704"/>
                            <a:pt x="17864" y="1426391"/>
                            <a:pt x="0" y="1280998"/>
                          </a:cubicBezTo>
                          <a:cubicBezTo>
                            <a:pt x="-17864" y="1135605"/>
                            <a:pt x="29541" y="978916"/>
                            <a:pt x="0" y="718626"/>
                          </a:cubicBezTo>
                          <a:cubicBezTo>
                            <a:pt x="-29541" y="458336"/>
                            <a:pt x="19137" y="226586"/>
                            <a:pt x="0" y="83146"/>
                          </a:cubicBezTo>
                          <a:close/>
                        </a:path>
                        <a:path w="14725650" h="7477125" stroke="0" extrusionOk="0">
                          <a:moveTo>
                            <a:pt x="0" y="83146"/>
                          </a:moveTo>
                          <a:cubicBezTo>
                            <a:pt x="3041" y="36629"/>
                            <a:pt x="37936" y="10486"/>
                            <a:pt x="83146" y="0"/>
                          </a:cubicBezTo>
                          <a:cubicBezTo>
                            <a:pt x="294082" y="-60732"/>
                            <a:pt x="410278" y="9253"/>
                            <a:pt x="665520" y="0"/>
                          </a:cubicBezTo>
                          <a:cubicBezTo>
                            <a:pt x="920762" y="-9253"/>
                            <a:pt x="1227343" y="40549"/>
                            <a:pt x="1539082" y="0"/>
                          </a:cubicBezTo>
                          <a:cubicBezTo>
                            <a:pt x="1850821" y="-40549"/>
                            <a:pt x="2235965" y="103708"/>
                            <a:pt x="2412643" y="0"/>
                          </a:cubicBezTo>
                          <a:cubicBezTo>
                            <a:pt x="2589321" y="-103708"/>
                            <a:pt x="2607314" y="23516"/>
                            <a:pt x="2703830" y="0"/>
                          </a:cubicBezTo>
                          <a:cubicBezTo>
                            <a:pt x="2800346" y="-23516"/>
                            <a:pt x="3096701" y="39341"/>
                            <a:pt x="3286205" y="0"/>
                          </a:cubicBezTo>
                          <a:cubicBezTo>
                            <a:pt x="3475710" y="-39341"/>
                            <a:pt x="3737858" y="66730"/>
                            <a:pt x="3868579" y="0"/>
                          </a:cubicBezTo>
                          <a:cubicBezTo>
                            <a:pt x="3999300" y="-66730"/>
                            <a:pt x="4298160" y="63733"/>
                            <a:pt x="4450953" y="0"/>
                          </a:cubicBezTo>
                          <a:cubicBezTo>
                            <a:pt x="4603746" y="-63733"/>
                            <a:pt x="4678699" y="40091"/>
                            <a:pt x="4887734" y="0"/>
                          </a:cubicBezTo>
                          <a:cubicBezTo>
                            <a:pt x="5096769" y="-40091"/>
                            <a:pt x="5101281" y="28796"/>
                            <a:pt x="5178921" y="0"/>
                          </a:cubicBezTo>
                          <a:cubicBezTo>
                            <a:pt x="5256561" y="-28796"/>
                            <a:pt x="5344350" y="8984"/>
                            <a:pt x="5470108" y="0"/>
                          </a:cubicBezTo>
                          <a:cubicBezTo>
                            <a:pt x="5595866" y="-8984"/>
                            <a:pt x="5581689" y="7274"/>
                            <a:pt x="5615702" y="0"/>
                          </a:cubicBezTo>
                          <a:cubicBezTo>
                            <a:pt x="5649715" y="-7274"/>
                            <a:pt x="5917439" y="57750"/>
                            <a:pt x="6198076" y="0"/>
                          </a:cubicBezTo>
                          <a:cubicBezTo>
                            <a:pt x="6478713" y="-57750"/>
                            <a:pt x="6819888" y="31489"/>
                            <a:pt x="7071638" y="0"/>
                          </a:cubicBezTo>
                          <a:cubicBezTo>
                            <a:pt x="7323388" y="-31489"/>
                            <a:pt x="7613193" y="31750"/>
                            <a:pt x="7945199" y="0"/>
                          </a:cubicBezTo>
                          <a:cubicBezTo>
                            <a:pt x="8277205" y="-31750"/>
                            <a:pt x="8459311" y="65484"/>
                            <a:pt x="8673167" y="0"/>
                          </a:cubicBezTo>
                          <a:cubicBezTo>
                            <a:pt x="8887023" y="-65484"/>
                            <a:pt x="9128395" y="60137"/>
                            <a:pt x="9255542" y="0"/>
                          </a:cubicBezTo>
                          <a:cubicBezTo>
                            <a:pt x="9382689" y="-60137"/>
                            <a:pt x="9612007" y="53539"/>
                            <a:pt x="9837916" y="0"/>
                          </a:cubicBezTo>
                          <a:cubicBezTo>
                            <a:pt x="10063825" y="-53539"/>
                            <a:pt x="10289645" y="38681"/>
                            <a:pt x="10711477" y="0"/>
                          </a:cubicBezTo>
                          <a:cubicBezTo>
                            <a:pt x="11133309" y="-38681"/>
                            <a:pt x="11134387" y="53659"/>
                            <a:pt x="11439445" y="0"/>
                          </a:cubicBezTo>
                          <a:cubicBezTo>
                            <a:pt x="11744503" y="-53659"/>
                            <a:pt x="11542461" y="5749"/>
                            <a:pt x="11585039" y="0"/>
                          </a:cubicBezTo>
                          <a:cubicBezTo>
                            <a:pt x="11627617" y="-5749"/>
                            <a:pt x="12114053" y="9870"/>
                            <a:pt x="12313007" y="0"/>
                          </a:cubicBezTo>
                          <a:cubicBezTo>
                            <a:pt x="12511961" y="-9870"/>
                            <a:pt x="12629943" y="32341"/>
                            <a:pt x="12895381" y="0"/>
                          </a:cubicBezTo>
                          <a:cubicBezTo>
                            <a:pt x="13160819" y="-32341"/>
                            <a:pt x="13239688" y="29615"/>
                            <a:pt x="13477755" y="0"/>
                          </a:cubicBezTo>
                          <a:cubicBezTo>
                            <a:pt x="13715822" y="-29615"/>
                            <a:pt x="13694203" y="11745"/>
                            <a:pt x="13768943" y="0"/>
                          </a:cubicBezTo>
                          <a:cubicBezTo>
                            <a:pt x="13843683" y="-11745"/>
                            <a:pt x="13973019" y="24559"/>
                            <a:pt x="14060130" y="0"/>
                          </a:cubicBezTo>
                          <a:cubicBezTo>
                            <a:pt x="14147241" y="-24559"/>
                            <a:pt x="14409232" y="67803"/>
                            <a:pt x="14642504" y="0"/>
                          </a:cubicBezTo>
                          <a:cubicBezTo>
                            <a:pt x="14687395" y="-2670"/>
                            <a:pt x="14724890" y="50910"/>
                            <a:pt x="14725650" y="83146"/>
                          </a:cubicBezTo>
                          <a:cubicBezTo>
                            <a:pt x="14761055" y="274122"/>
                            <a:pt x="14702138" y="495054"/>
                            <a:pt x="14725650" y="645518"/>
                          </a:cubicBezTo>
                          <a:cubicBezTo>
                            <a:pt x="14749162" y="795982"/>
                            <a:pt x="14670186" y="989296"/>
                            <a:pt x="14725650" y="1207890"/>
                          </a:cubicBezTo>
                          <a:cubicBezTo>
                            <a:pt x="14781114" y="1426484"/>
                            <a:pt x="14674354" y="1665263"/>
                            <a:pt x="14725650" y="1843370"/>
                          </a:cubicBezTo>
                          <a:cubicBezTo>
                            <a:pt x="14776946" y="2021477"/>
                            <a:pt x="14698046" y="2183394"/>
                            <a:pt x="14725650" y="2478850"/>
                          </a:cubicBezTo>
                          <a:cubicBezTo>
                            <a:pt x="14753254" y="2774306"/>
                            <a:pt x="14705596" y="2753035"/>
                            <a:pt x="14725650" y="2895005"/>
                          </a:cubicBezTo>
                          <a:cubicBezTo>
                            <a:pt x="14745704" y="3036976"/>
                            <a:pt x="14708485" y="3160607"/>
                            <a:pt x="14725650" y="3311160"/>
                          </a:cubicBezTo>
                          <a:cubicBezTo>
                            <a:pt x="14742815" y="3461714"/>
                            <a:pt x="14675983" y="3691349"/>
                            <a:pt x="14725650" y="3946640"/>
                          </a:cubicBezTo>
                          <a:cubicBezTo>
                            <a:pt x="14775317" y="4201931"/>
                            <a:pt x="14725404" y="4278831"/>
                            <a:pt x="14725650" y="4362795"/>
                          </a:cubicBezTo>
                          <a:cubicBezTo>
                            <a:pt x="14725896" y="4446759"/>
                            <a:pt x="14703475" y="4545941"/>
                            <a:pt x="14725650" y="4705842"/>
                          </a:cubicBezTo>
                          <a:cubicBezTo>
                            <a:pt x="14747825" y="4865743"/>
                            <a:pt x="14659521" y="5204628"/>
                            <a:pt x="14725650" y="5341322"/>
                          </a:cubicBezTo>
                          <a:cubicBezTo>
                            <a:pt x="14791779" y="5478016"/>
                            <a:pt x="14703242" y="5568972"/>
                            <a:pt x="14725650" y="5757477"/>
                          </a:cubicBezTo>
                          <a:cubicBezTo>
                            <a:pt x="14748058" y="5945982"/>
                            <a:pt x="14700762" y="6273579"/>
                            <a:pt x="14725650" y="6466066"/>
                          </a:cubicBezTo>
                          <a:cubicBezTo>
                            <a:pt x="14750538" y="6658553"/>
                            <a:pt x="14702334" y="6964217"/>
                            <a:pt x="14725650" y="7393979"/>
                          </a:cubicBezTo>
                          <a:cubicBezTo>
                            <a:pt x="14727985" y="7441988"/>
                            <a:pt x="14682228" y="7473027"/>
                            <a:pt x="14642504" y="7477125"/>
                          </a:cubicBezTo>
                          <a:cubicBezTo>
                            <a:pt x="14304904" y="7550883"/>
                            <a:pt x="14163354" y="7390790"/>
                            <a:pt x="13914536" y="7477125"/>
                          </a:cubicBezTo>
                          <a:cubicBezTo>
                            <a:pt x="13665718" y="7563460"/>
                            <a:pt x="13814391" y="7461740"/>
                            <a:pt x="13768943" y="7477125"/>
                          </a:cubicBezTo>
                          <a:cubicBezTo>
                            <a:pt x="13723495" y="7492510"/>
                            <a:pt x="13438217" y="7470379"/>
                            <a:pt x="13332162" y="7477125"/>
                          </a:cubicBezTo>
                          <a:cubicBezTo>
                            <a:pt x="13226107" y="7483871"/>
                            <a:pt x="13064431" y="7445636"/>
                            <a:pt x="12895381" y="7477125"/>
                          </a:cubicBezTo>
                          <a:cubicBezTo>
                            <a:pt x="12726331" y="7508614"/>
                            <a:pt x="12383844" y="7476712"/>
                            <a:pt x="12167413" y="7477125"/>
                          </a:cubicBezTo>
                          <a:cubicBezTo>
                            <a:pt x="11950982" y="7477538"/>
                            <a:pt x="12057498" y="7473107"/>
                            <a:pt x="12021820" y="7477125"/>
                          </a:cubicBezTo>
                          <a:cubicBezTo>
                            <a:pt x="11986142" y="7481143"/>
                            <a:pt x="11586580" y="7471245"/>
                            <a:pt x="11439445" y="7477125"/>
                          </a:cubicBezTo>
                          <a:cubicBezTo>
                            <a:pt x="11292311" y="7483005"/>
                            <a:pt x="10910056" y="7436928"/>
                            <a:pt x="10711477" y="7477125"/>
                          </a:cubicBezTo>
                          <a:cubicBezTo>
                            <a:pt x="10512898" y="7517322"/>
                            <a:pt x="10565155" y="7469842"/>
                            <a:pt x="10420290" y="7477125"/>
                          </a:cubicBezTo>
                          <a:cubicBezTo>
                            <a:pt x="10275425" y="7484408"/>
                            <a:pt x="9759934" y="7415970"/>
                            <a:pt x="9546729" y="7477125"/>
                          </a:cubicBezTo>
                          <a:cubicBezTo>
                            <a:pt x="9333524" y="7538280"/>
                            <a:pt x="8874986" y="7375603"/>
                            <a:pt x="8673167" y="7477125"/>
                          </a:cubicBezTo>
                          <a:cubicBezTo>
                            <a:pt x="8471348" y="7578647"/>
                            <a:pt x="8571788" y="7475485"/>
                            <a:pt x="8527574" y="7477125"/>
                          </a:cubicBezTo>
                          <a:cubicBezTo>
                            <a:pt x="8483360" y="7478765"/>
                            <a:pt x="8288636" y="7430475"/>
                            <a:pt x="8090793" y="7477125"/>
                          </a:cubicBezTo>
                          <a:cubicBezTo>
                            <a:pt x="7892950" y="7523775"/>
                            <a:pt x="7781091" y="7430896"/>
                            <a:pt x="7654012" y="7477125"/>
                          </a:cubicBezTo>
                          <a:cubicBezTo>
                            <a:pt x="7526933" y="7523354"/>
                            <a:pt x="7215231" y="7463768"/>
                            <a:pt x="6926044" y="7477125"/>
                          </a:cubicBezTo>
                          <a:cubicBezTo>
                            <a:pt x="6636857" y="7490482"/>
                            <a:pt x="6463637" y="7443698"/>
                            <a:pt x="6343670" y="7477125"/>
                          </a:cubicBezTo>
                          <a:cubicBezTo>
                            <a:pt x="6223703" y="7510552"/>
                            <a:pt x="6164829" y="7446764"/>
                            <a:pt x="6052483" y="7477125"/>
                          </a:cubicBezTo>
                          <a:cubicBezTo>
                            <a:pt x="5940137" y="7507486"/>
                            <a:pt x="5896111" y="7475102"/>
                            <a:pt x="5761296" y="7477125"/>
                          </a:cubicBezTo>
                          <a:cubicBezTo>
                            <a:pt x="5626481" y="7479148"/>
                            <a:pt x="5658445" y="7470545"/>
                            <a:pt x="5615702" y="7477125"/>
                          </a:cubicBezTo>
                          <a:cubicBezTo>
                            <a:pt x="5572959" y="7483705"/>
                            <a:pt x="5229980" y="7429803"/>
                            <a:pt x="4887734" y="7477125"/>
                          </a:cubicBezTo>
                          <a:cubicBezTo>
                            <a:pt x="4545488" y="7524447"/>
                            <a:pt x="4736880" y="7468212"/>
                            <a:pt x="4596547" y="7477125"/>
                          </a:cubicBezTo>
                          <a:cubicBezTo>
                            <a:pt x="4456214" y="7486038"/>
                            <a:pt x="4081230" y="7404939"/>
                            <a:pt x="3868579" y="7477125"/>
                          </a:cubicBezTo>
                          <a:cubicBezTo>
                            <a:pt x="3655928" y="7549311"/>
                            <a:pt x="3455120" y="7441593"/>
                            <a:pt x="3286205" y="7477125"/>
                          </a:cubicBezTo>
                          <a:cubicBezTo>
                            <a:pt x="3117290" y="7512657"/>
                            <a:pt x="2625189" y="7376613"/>
                            <a:pt x="2412643" y="7477125"/>
                          </a:cubicBezTo>
                          <a:cubicBezTo>
                            <a:pt x="2200097" y="7577637"/>
                            <a:pt x="2075557" y="7462315"/>
                            <a:pt x="1975863" y="7477125"/>
                          </a:cubicBezTo>
                          <a:cubicBezTo>
                            <a:pt x="1876169" y="7491935"/>
                            <a:pt x="1496868" y="7476603"/>
                            <a:pt x="1102301" y="7477125"/>
                          </a:cubicBezTo>
                          <a:cubicBezTo>
                            <a:pt x="707734" y="7477647"/>
                            <a:pt x="1007861" y="7467812"/>
                            <a:pt x="956707" y="7477125"/>
                          </a:cubicBezTo>
                          <a:cubicBezTo>
                            <a:pt x="905553" y="7486438"/>
                            <a:pt x="383280" y="7467186"/>
                            <a:pt x="83146" y="7477125"/>
                          </a:cubicBezTo>
                          <a:cubicBezTo>
                            <a:pt x="24874" y="7480447"/>
                            <a:pt x="7362" y="7438823"/>
                            <a:pt x="0" y="7393979"/>
                          </a:cubicBezTo>
                          <a:cubicBezTo>
                            <a:pt x="-23993" y="7284613"/>
                            <a:pt x="43567" y="7089146"/>
                            <a:pt x="0" y="6977824"/>
                          </a:cubicBezTo>
                          <a:cubicBezTo>
                            <a:pt x="-43567" y="6866503"/>
                            <a:pt x="682" y="6746500"/>
                            <a:pt x="0" y="6561669"/>
                          </a:cubicBezTo>
                          <a:cubicBezTo>
                            <a:pt x="-682" y="6376839"/>
                            <a:pt x="8556" y="6298678"/>
                            <a:pt x="0" y="6218622"/>
                          </a:cubicBezTo>
                          <a:cubicBezTo>
                            <a:pt x="-8556" y="6138566"/>
                            <a:pt x="66774" y="5731060"/>
                            <a:pt x="0" y="5583142"/>
                          </a:cubicBezTo>
                          <a:cubicBezTo>
                            <a:pt x="-66774" y="5435224"/>
                            <a:pt x="25705" y="5156497"/>
                            <a:pt x="0" y="4947662"/>
                          </a:cubicBezTo>
                          <a:cubicBezTo>
                            <a:pt x="-25705" y="4738827"/>
                            <a:pt x="2092" y="4658506"/>
                            <a:pt x="0" y="4531507"/>
                          </a:cubicBezTo>
                          <a:cubicBezTo>
                            <a:pt x="-2092" y="4404508"/>
                            <a:pt x="78166" y="4140736"/>
                            <a:pt x="0" y="3822918"/>
                          </a:cubicBezTo>
                          <a:cubicBezTo>
                            <a:pt x="-78166" y="3505100"/>
                            <a:pt x="13136" y="3526856"/>
                            <a:pt x="0" y="3406763"/>
                          </a:cubicBezTo>
                          <a:cubicBezTo>
                            <a:pt x="-13136" y="3286671"/>
                            <a:pt x="3950" y="3023248"/>
                            <a:pt x="0" y="2844391"/>
                          </a:cubicBezTo>
                          <a:cubicBezTo>
                            <a:pt x="-3950" y="2665534"/>
                            <a:pt x="34062" y="2341630"/>
                            <a:pt x="0" y="2208911"/>
                          </a:cubicBezTo>
                          <a:cubicBezTo>
                            <a:pt x="-34062" y="2076192"/>
                            <a:pt x="35235" y="1773387"/>
                            <a:pt x="0" y="1646540"/>
                          </a:cubicBezTo>
                          <a:cubicBezTo>
                            <a:pt x="-35235" y="1519693"/>
                            <a:pt x="16405" y="1465110"/>
                            <a:pt x="0" y="1303493"/>
                          </a:cubicBezTo>
                          <a:cubicBezTo>
                            <a:pt x="-16405" y="1141876"/>
                            <a:pt x="41562" y="1052593"/>
                            <a:pt x="0" y="887338"/>
                          </a:cubicBezTo>
                          <a:cubicBezTo>
                            <a:pt x="-41562" y="722084"/>
                            <a:pt x="19758" y="292445"/>
                            <a:pt x="0" y="83146"/>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73253" y="270899"/>
              <a:ext cx="7691601" cy="834001"/>
            </a:xfrm>
            <a:prstGeom prst="roundRect">
              <a:avLst>
                <a:gd name="adj" fmla="val 10000"/>
              </a:avLst>
            </a:prstGeom>
            <a:solidFill>
              <a:schemeClr val="accent4">
                <a:lumMod val="40000"/>
                <a:lumOff val="60000"/>
              </a:schemeClr>
            </a:solidFill>
            <a:ln w="12700" cap="flat" cmpd="sng">
              <a:solidFill>
                <a:srgbClr val="7F7F7F"/>
              </a:solidFill>
              <a:prstDash val="dash"/>
              <a:miter lim="800000"/>
              <a:headEnd type="diamond" w="sm" len="sm"/>
              <a:tailEnd type="none" w="sm" len="sm"/>
              <a:extLst>
                <a:ext uri="{C807C97D-BFC1-408E-A445-0C87EB9F89A2}">
                  <ask:lineSketchStyleProps xmlns:ask="http://schemas.microsoft.com/office/drawing/2018/sketchyshapes" sd="717625699">
                    <a:custGeom>
                      <a:avLst/>
                      <a:gdLst>
                        <a:gd name="csX0" fmla="*/ 0 w 8409629"/>
                        <a:gd name="csY0" fmla="*/ 80195 h 801946"/>
                        <a:gd name="csX1" fmla="*/ 80195 w 8409629"/>
                        <a:gd name="csY1" fmla="*/ 0 h 801946"/>
                        <a:gd name="csX2" fmla="*/ 751919 w 8409629"/>
                        <a:gd name="csY2" fmla="*/ 0 h 801946"/>
                        <a:gd name="csX3" fmla="*/ 1341150 w 8409629"/>
                        <a:gd name="csY3" fmla="*/ 0 h 801946"/>
                        <a:gd name="csX4" fmla="*/ 2012874 w 8409629"/>
                        <a:gd name="csY4" fmla="*/ 0 h 801946"/>
                        <a:gd name="csX5" fmla="*/ 2354628 w 8409629"/>
                        <a:gd name="csY5" fmla="*/ 0 h 801946"/>
                        <a:gd name="csX6" fmla="*/ 2943859 w 8409629"/>
                        <a:gd name="csY6" fmla="*/ 0 h 801946"/>
                        <a:gd name="csX7" fmla="*/ 3450598 w 8409629"/>
                        <a:gd name="csY7" fmla="*/ 0 h 801946"/>
                        <a:gd name="csX8" fmla="*/ 3792353 w 8409629"/>
                        <a:gd name="csY8" fmla="*/ 0 h 801946"/>
                        <a:gd name="csX9" fmla="*/ 4546569 w 8409629"/>
                        <a:gd name="csY9" fmla="*/ 0 h 801946"/>
                        <a:gd name="csX10" fmla="*/ 5135800 w 8409629"/>
                        <a:gd name="csY10" fmla="*/ 0 h 801946"/>
                        <a:gd name="csX11" fmla="*/ 5642539 w 8409629"/>
                        <a:gd name="csY11" fmla="*/ 0 h 801946"/>
                        <a:gd name="csX12" fmla="*/ 6314263 w 8409629"/>
                        <a:gd name="csY12" fmla="*/ 0 h 801946"/>
                        <a:gd name="csX13" fmla="*/ 6738509 w 8409629"/>
                        <a:gd name="csY13" fmla="*/ 0 h 801946"/>
                        <a:gd name="csX14" fmla="*/ 7245248 w 8409629"/>
                        <a:gd name="csY14" fmla="*/ 0 h 801946"/>
                        <a:gd name="csX15" fmla="*/ 8329434 w 8409629"/>
                        <a:gd name="csY15" fmla="*/ 0 h 801946"/>
                        <a:gd name="csX16" fmla="*/ 8409629 w 8409629"/>
                        <a:gd name="csY16" fmla="*/ 80195 h 801946"/>
                        <a:gd name="csX17" fmla="*/ 8409629 w 8409629"/>
                        <a:gd name="csY17" fmla="*/ 400973 h 801946"/>
                        <a:gd name="csX18" fmla="*/ 8409629 w 8409629"/>
                        <a:gd name="csY18" fmla="*/ 721751 h 801946"/>
                        <a:gd name="csX19" fmla="*/ 8329434 w 8409629"/>
                        <a:gd name="csY19" fmla="*/ 801946 h 801946"/>
                        <a:gd name="csX20" fmla="*/ 7905187 w 8409629"/>
                        <a:gd name="csY20" fmla="*/ 801946 h 801946"/>
                        <a:gd name="csX21" fmla="*/ 7480941 w 8409629"/>
                        <a:gd name="csY21" fmla="*/ 801946 h 801946"/>
                        <a:gd name="csX22" fmla="*/ 6726725 w 8409629"/>
                        <a:gd name="csY22" fmla="*/ 801946 h 801946"/>
                        <a:gd name="csX23" fmla="*/ 5972509 w 8409629"/>
                        <a:gd name="csY23" fmla="*/ 801946 h 801946"/>
                        <a:gd name="csX24" fmla="*/ 5465770 w 8409629"/>
                        <a:gd name="csY24" fmla="*/ 801946 h 801946"/>
                        <a:gd name="csX25" fmla="*/ 5124015 w 8409629"/>
                        <a:gd name="csY25" fmla="*/ 801946 h 801946"/>
                        <a:gd name="csX26" fmla="*/ 4782261 w 8409629"/>
                        <a:gd name="csY26" fmla="*/ 801946 h 801946"/>
                        <a:gd name="csX27" fmla="*/ 4193030 w 8409629"/>
                        <a:gd name="csY27" fmla="*/ 801946 h 801946"/>
                        <a:gd name="csX28" fmla="*/ 3438814 w 8409629"/>
                        <a:gd name="csY28" fmla="*/ 801946 h 801946"/>
                        <a:gd name="csX29" fmla="*/ 2767090 w 8409629"/>
                        <a:gd name="csY29" fmla="*/ 801946 h 801946"/>
                        <a:gd name="csX30" fmla="*/ 2425336 w 8409629"/>
                        <a:gd name="csY30" fmla="*/ 801946 h 801946"/>
                        <a:gd name="csX31" fmla="*/ 2083582 w 8409629"/>
                        <a:gd name="csY31" fmla="*/ 801946 h 801946"/>
                        <a:gd name="csX32" fmla="*/ 1576843 w 8409629"/>
                        <a:gd name="csY32" fmla="*/ 801946 h 801946"/>
                        <a:gd name="csX33" fmla="*/ 1070104 w 8409629"/>
                        <a:gd name="csY33" fmla="*/ 801946 h 801946"/>
                        <a:gd name="csX34" fmla="*/ 80195 w 8409629"/>
                        <a:gd name="csY34" fmla="*/ 801946 h 801946"/>
                        <a:gd name="csX35" fmla="*/ 0 w 8409629"/>
                        <a:gd name="csY35" fmla="*/ 721751 h 801946"/>
                        <a:gd name="csX36" fmla="*/ 0 w 8409629"/>
                        <a:gd name="csY36" fmla="*/ 420220 h 801946"/>
                        <a:gd name="csX37" fmla="*/ 0 w 8409629"/>
                        <a:gd name="csY37" fmla="*/ 80195 h 80194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Lst>
                      <a:rect l="l" t="t" r="r" b="b"/>
                      <a:pathLst>
                        <a:path w="8409629" h="801946" fill="none" extrusionOk="0">
                          <a:moveTo>
                            <a:pt x="0" y="80195"/>
                          </a:moveTo>
                          <a:cubicBezTo>
                            <a:pt x="-3988" y="38156"/>
                            <a:pt x="35248" y="1096"/>
                            <a:pt x="80195" y="0"/>
                          </a:cubicBezTo>
                          <a:cubicBezTo>
                            <a:pt x="335862" y="-25532"/>
                            <a:pt x="581824" y="40544"/>
                            <a:pt x="751919" y="0"/>
                          </a:cubicBezTo>
                          <a:cubicBezTo>
                            <a:pt x="922014" y="-40544"/>
                            <a:pt x="1192533" y="1976"/>
                            <a:pt x="1341150" y="0"/>
                          </a:cubicBezTo>
                          <a:cubicBezTo>
                            <a:pt x="1489767" y="-1976"/>
                            <a:pt x="1790527" y="65339"/>
                            <a:pt x="2012874" y="0"/>
                          </a:cubicBezTo>
                          <a:cubicBezTo>
                            <a:pt x="2235221" y="-65339"/>
                            <a:pt x="2188587" y="16705"/>
                            <a:pt x="2354628" y="0"/>
                          </a:cubicBezTo>
                          <a:cubicBezTo>
                            <a:pt x="2520669" y="-16705"/>
                            <a:pt x="2711215" y="26231"/>
                            <a:pt x="2943859" y="0"/>
                          </a:cubicBezTo>
                          <a:cubicBezTo>
                            <a:pt x="3176503" y="-26231"/>
                            <a:pt x="3233944" y="37884"/>
                            <a:pt x="3450598" y="0"/>
                          </a:cubicBezTo>
                          <a:cubicBezTo>
                            <a:pt x="3667252" y="-37884"/>
                            <a:pt x="3644551" y="18330"/>
                            <a:pt x="3792353" y="0"/>
                          </a:cubicBezTo>
                          <a:cubicBezTo>
                            <a:pt x="3940156" y="-18330"/>
                            <a:pt x="4291226" y="54370"/>
                            <a:pt x="4546569" y="0"/>
                          </a:cubicBezTo>
                          <a:cubicBezTo>
                            <a:pt x="4801912" y="-54370"/>
                            <a:pt x="4930964" y="69255"/>
                            <a:pt x="5135800" y="0"/>
                          </a:cubicBezTo>
                          <a:cubicBezTo>
                            <a:pt x="5340636" y="-69255"/>
                            <a:pt x="5434129" y="19251"/>
                            <a:pt x="5642539" y="0"/>
                          </a:cubicBezTo>
                          <a:cubicBezTo>
                            <a:pt x="5850949" y="-19251"/>
                            <a:pt x="5985253" y="48706"/>
                            <a:pt x="6314263" y="0"/>
                          </a:cubicBezTo>
                          <a:cubicBezTo>
                            <a:pt x="6643273" y="-48706"/>
                            <a:pt x="6600810" y="28593"/>
                            <a:pt x="6738509" y="0"/>
                          </a:cubicBezTo>
                          <a:cubicBezTo>
                            <a:pt x="6876208" y="-28593"/>
                            <a:pt x="7070197" y="23913"/>
                            <a:pt x="7245248" y="0"/>
                          </a:cubicBezTo>
                          <a:cubicBezTo>
                            <a:pt x="7420299" y="-23913"/>
                            <a:pt x="7815483" y="27618"/>
                            <a:pt x="8329434" y="0"/>
                          </a:cubicBezTo>
                          <a:cubicBezTo>
                            <a:pt x="8385336" y="5745"/>
                            <a:pt x="8403258" y="46534"/>
                            <a:pt x="8409629" y="80195"/>
                          </a:cubicBezTo>
                          <a:cubicBezTo>
                            <a:pt x="8441180" y="218364"/>
                            <a:pt x="8378483" y="283782"/>
                            <a:pt x="8409629" y="400973"/>
                          </a:cubicBezTo>
                          <a:cubicBezTo>
                            <a:pt x="8440775" y="518164"/>
                            <a:pt x="8384764" y="570480"/>
                            <a:pt x="8409629" y="721751"/>
                          </a:cubicBezTo>
                          <a:cubicBezTo>
                            <a:pt x="8420044" y="765988"/>
                            <a:pt x="8375229" y="801010"/>
                            <a:pt x="8329434" y="801946"/>
                          </a:cubicBezTo>
                          <a:cubicBezTo>
                            <a:pt x="8231415" y="829204"/>
                            <a:pt x="8026628" y="793268"/>
                            <a:pt x="7905187" y="801946"/>
                          </a:cubicBezTo>
                          <a:cubicBezTo>
                            <a:pt x="7783746" y="810624"/>
                            <a:pt x="7583259" y="773074"/>
                            <a:pt x="7480941" y="801946"/>
                          </a:cubicBezTo>
                          <a:cubicBezTo>
                            <a:pt x="7378623" y="830818"/>
                            <a:pt x="6882664" y="788291"/>
                            <a:pt x="6726725" y="801946"/>
                          </a:cubicBezTo>
                          <a:cubicBezTo>
                            <a:pt x="6570786" y="815601"/>
                            <a:pt x="6232650" y="765257"/>
                            <a:pt x="5972509" y="801946"/>
                          </a:cubicBezTo>
                          <a:cubicBezTo>
                            <a:pt x="5712368" y="838635"/>
                            <a:pt x="5646995" y="797884"/>
                            <a:pt x="5465770" y="801946"/>
                          </a:cubicBezTo>
                          <a:cubicBezTo>
                            <a:pt x="5284545" y="806008"/>
                            <a:pt x="5238599" y="787974"/>
                            <a:pt x="5124015" y="801946"/>
                          </a:cubicBezTo>
                          <a:cubicBezTo>
                            <a:pt x="5009431" y="815918"/>
                            <a:pt x="4925466" y="779193"/>
                            <a:pt x="4782261" y="801946"/>
                          </a:cubicBezTo>
                          <a:cubicBezTo>
                            <a:pt x="4639056" y="824699"/>
                            <a:pt x="4432561" y="780534"/>
                            <a:pt x="4193030" y="801946"/>
                          </a:cubicBezTo>
                          <a:cubicBezTo>
                            <a:pt x="3953499" y="823358"/>
                            <a:pt x="3749856" y="753917"/>
                            <a:pt x="3438814" y="801946"/>
                          </a:cubicBezTo>
                          <a:cubicBezTo>
                            <a:pt x="3127772" y="849975"/>
                            <a:pt x="2966103" y="785151"/>
                            <a:pt x="2767090" y="801946"/>
                          </a:cubicBezTo>
                          <a:cubicBezTo>
                            <a:pt x="2568077" y="818741"/>
                            <a:pt x="2509555" y="790393"/>
                            <a:pt x="2425336" y="801946"/>
                          </a:cubicBezTo>
                          <a:cubicBezTo>
                            <a:pt x="2341117" y="813499"/>
                            <a:pt x="2152960" y="798553"/>
                            <a:pt x="2083582" y="801946"/>
                          </a:cubicBezTo>
                          <a:cubicBezTo>
                            <a:pt x="2014204" y="805339"/>
                            <a:pt x="1691772" y="788052"/>
                            <a:pt x="1576843" y="801946"/>
                          </a:cubicBezTo>
                          <a:cubicBezTo>
                            <a:pt x="1461914" y="815840"/>
                            <a:pt x="1178349" y="745069"/>
                            <a:pt x="1070104" y="801946"/>
                          </a:cubicBezTo>
                          <a:cubicBezTo>
                            <a:pt x="961859" y="858823"/>
                            <a:pt x="479842" y="693843"/>
                            <a:pt x="80195" y="801946"/>
                          </a:cubicBezTo>
                          <a:cubicBezTo>
                            <a:pt x="29058" y="802028"/>
                            <a:pt x="11601" y="759668"/>
                            <a:pt x="0" y="721751"/>
                          </a:cubicBezTo>
                          <a:cubicBezTo>
                            <a:pt x="-10843" y="649694"/>
                            <a:pt x="32739" y="519010"/>
                            <a:pt x="0" y="420220"/>
                          </a:cubicBezTo>
                          <a:cubicBezTo>
                            <a:pt x="-32739" y="321430"/>
                            <a:pt x="30259" y="228927"/>
                            <a:pt x="0" y="80195"/>
                          </a:cubicBezTo>
                          <a:close/>
                        </a:path>
                        <a:path w="8409629" h="801946" stroke="0" extrusionOk="0">
                          <a:moveTo>
                            <a:pt x="0" y="80195"/>
                          </a:moveTo>
                          <a:cubicBezTo>
                            <a:pt x="3755" y="26985"/>
                            <a:pt x="45941" y="4869"/>
                            <a:pt x="80195" y="0"/>
                          </a:cubicBezTo>
                          <a:cubicBezTo>
                            <a:pt x="247356" y="-64731"/>
                            <a:pt x="492144" y="2802"/>
                            <a:pt x="669426" y="0"/>
                          </a:cubicBezTo>
                          <a:cubicBezTo>
                            <a:pt x="846708" y="-2802"/>
                            <a:pt x="1103958" y="34"/>
                            <a:pt x="1423642" y="0"/>
                          </a:cubicBezTo>
                          <a:cubicBezTo>
                            <a:pt x="1743326" y="-34"/>
                            <a:pt x="1898786" y="60619"/>
                            <a:pt x="2177859" y="0"/>
                          </a:cubicBezTo>
                          <a:cubicBezTo>
                            <a:pt x="2456932" y="-60619"/>
                            <a:pt x="2361058" y="32374"/>
                            <a:pt x="2519613" y="0"/>
                          </a:cubicBezTo>
                          <a:cubicBezTo>
                            <a:pt x="2678168" y="-32374"/>
                            <a:pt x="2992164" y="42578"/>
                            <a:pt x="3191337" y="0"/>
                          </a:cubicBezTo>
                          <a:cubicBezTo>
                            <a:pt x="3390510" y="-42578"/>
                            <a:pt x="3685281" y="16921"/>
                            <a:pt x="3945553" y="0"/>
                          </a:cubicBezTo>
                          <a:cubicBezTo>
                            <a:pt x="4205825" y="-16921"/>
                            <a:pt x="4368710" y="36587"/>
                            <a:pt x="4534784" y="0"/>
                          </a:cubicBezTo>
                          <a:cubicBezTo>
                            <a:pt x="4700858" y="-36587"/>
                            <a:pt x="4911505" y="27492"/>
                            <a:pt x="5041523" y="0"/>
                          </a:cubicBezTo>
                          <a:cubicBezTo>
                            <a:pt x="5171541" y="-27492"/>
                            <a:pt x="5571999" y="53199"/>
                            <a:pt x="5713247" y="0"/>
                          </a:cubicBezTo>
                          <a:cubicBezTo>
                            <a:pt x="5854495" y="-53199"/>
                            <a:pt x="6255101" y="77355"/>
                            <a:pt x="6467463" y="0"/>
                          </a:cubicBezTo>
                          <a:cubicBezTo>
                            <a:pt x="6679825" y="-77355"/>
                            <a:pt x="6849053" y="45874"/>
                            <a:pt x="7139187" y="0"/>
                          </a:cubicBezTo>
                          <a:cubicBezTo>
                            <a:pt x="7429321" y="-45874"/>
                            <a:pt x="7449958" y="13334"/>
                            <a:pt x="7563433" y="0"/>
                          </a:cubicBezTo>
                          <a:cubicBezTo>
                            <a:pt x="7676908" y="-13334"/>
                            <a:pt x="8002230" y="62071"/>
                            <a:pt x="8329434" y="0"/>
                          </a:cubicBezTo>
                          <a:cubicBezTo>
                            <a:pt x="8384457" y="-3554"/>
                            <a:pt x="8411919" y="27484"/>
                            <a:pt x="8409629" y="80195"/>
                          </a:cubicBezTo>
                          <a:cubicBezTo>
                            <a:pt x="8422919" y="217013"/>
                            <a:pt x="8405670" y="296130"/>
                            <a:pt x="8409629" y="394557"/>
                          </a:cubicBezTo>
                          <a:cubicBezTo>
                            <a:pt x="8413588" y="492984"/>
                            <a:pt x="8407378" y="611919"/>
                            <a:pt x="8409629" y="721751"/>
                          </a:cubicBezTo>
                          <a:cubicBezTo>
                            <a:pt x="8407971" y="770730"/>
                            <a:pt x="8379291" y="799338"/>
                            <a:pt x="8329434" y="801946"/>
                          </a:cubicBezTo>
                          <a:cubicBezTo>
                            <a:pt x="8219719" y="843624"/>
                            <a:pt x="8071334" y="795829"/>
                            <a:pt x="7905187" y="801946"/>
                          </a:cubicBezTo>
                          <a:cubicBezTo>
                            <a:pt x="7739040" y="808063"/>
                            <a:pt x="7506786" y="735935"/>
                            <a:pt x="7315956" y="801946"/>
                          </a:cubicBezTo>
                          <a:cubicBezTo>
                            <a:pt x="7125126" y="867957"/>
                            <a:pt x="6856054" y="789339"/>
                            <a:pt x="6561740" y="801946"/>
                          </a:cubicBezTo>
                          <a:cubicBezTo>
                            <a:pt x="6267426" y="814553"/>
                            <a:pt x="6226196" y="769562"/>
                            <a:pt x="6137493" y="801946"/>
                          </a:cubicBezTo>
                          <a:cubicBezTo>
                            <a:pt x="6048790" y="834330"/>
                            <a:pt x="5936701" y="767030"/>
                            <a:pt x="5795739" y="801946"/>
                          </a:cubicBezTo>
                          <a:cubicBezTo>
                            <a:pt x="5654777" y="836862"/>
                            <a:pt x="5521576" y="744875"/>
                            <a:pt x="5289000" y="801946"/>
                          </a:cubicBezTo>
                          <a:cubicBezTo>
                            <a:pt x="5056424" y="859017"/>
                            <a:pt x="4984466" y="743655"/>
                            <a:pt x="4782261" y="801946"/>
                          </a:cubicBezTo>
                          <a:cubicBezTo>
                            <a:pt x="4580056" y="860237"/>
                            <a:pt x="4344605" y="736691"/>
                            <a:pt x="4110537" y="801946"/>
                          </a:cubicBezTo>
                          <a:cubicBezTo>
                            <a:pt x="3876469" y="867201"/>
                            <a:pt x="3856689" y="767194"/>
                            <a:pt x="3686291" y="801946"/>
                          </a:cubicBezTo>
                          <a:cubicBezTo>
                            <a:pt x="3515893" y="836698"/>
                            <a:pt x="3259914" y="733190"/>
                            <a:pt x="3097060" y="801946"/>
                          </a:cubicBezTo>
                          <a:cubicBezTo>
                            <a:pt x="2934206" y="870702"/>
                            <a:pt x="2895453" y="777219"/>
                            <a:pt x="2755305" y="801946"/>
                          </a:cubicBezTo>
                          <a:cubicBezTo>
                            <a:pt x="2615157" y="826673"/>
                            <a:pt x="2479652" y="775921"/>
                            <a:pt x="2331059" y="801946"/>
                          </a:cubicBezTo>
                          <a:cubicBezTo>
                            <a:pt x="2182466" y="827971"/>
                            <a:pt x="1997988" y="746143"/>
                            <a:pt x="1741827" y="801946"/>
                          </a:cubicBezTo>
                          <a:cubicBezTo>
                            <a:pt x="1485666" y="857749"/>
                            <a:pt x="1185335" y="726528"/>
                            <a:pt x="987611" y="801946"/>
                          </a:cubicBezTo>
                          <a:cubicBezTo>
                            <a:pt x="789887" y="877364"/>
                            <a:pt x="480108" y="702853"/>
                            <a:pt x="80195" y="801946"/>
                          </a:cubicBezTo>
                          <a:cubicBezTo>
                            <a:pt x="34421" y="802896"/>
                            <a:pt x="4916" y="773981"/>
                            <a:pt x="0" y="721751"/>
                          </a:cubicBezTo>
                          <a:cubicBezTo>
                            <a:pt x="-3513" y="591654"/>
                            <a:pt x="32302" y="530325"/>
                            <a:pt x="0" y="413804"/>
                          </a:cubicBezTo>
                          <a:cubicBezTo>
                            <a:pt x="-32302" y="297283"/>
                            <a:pt x="21318" y="175205"/>
                            <a:pt x="0" y="80195"/>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l" rtl="0">
                <a:spcBef>
                  <a:spcPts val="0"/>
                </a:spcBef>
                <a:spcAft>
                  <a:spcPts val="0"/>
                </a:spcAft>
                <a:buNone/>
              </a:pPr>
              <a:r>
                <a:rPr lang="en-IN" sz="4000">
                  <a:solidFill>
                    <a:schemeClr val="accent1">
                      <a:lumMod val="50000"/>
                    </a:schemeClr>
                  </a:solidFill>
                  <a:latin typeface="Britannic Bold" panose="020B0903060703020204" pitchFamily="34" charset="0"/>
                  <a:ea typeface="Lato"/>
                  <a:cs typeface="Lato"/>
                  <a:sym typeface="Lato"/>
                </a:rPr>
                <a:t>        HR</a:t>
              </a:r>
              <a:r>
                <a:rPr lang="en-IN" sz="4000" baseline="0">
                  <a:solidFill>
                    <a:schemeClr val="accent1">
                      <a:lumMod val="50000"/>
                    </a:schemeClr>
                  </a:solidFill>
                  <a:latin typeface="Britannic Bold" panose="020B0903060703020204" pitchFamily="34" charset="0"/>
                  <a:ea typeface="Lato"/>
                  <a:cs typeface="Lato"/>
                  <a:sym typeface="Lato"/>
                </a:rPr>
                <a:t> ANALYTICS DASHBOARD </a:t>
              </a:r>
              <a:endParaRPr sz="4000">
                <a:solidFill>
                  <a:schemeClr val="accent1">
                    <a:lumMod val="50000"/>
                  </a:schemeClr>
                </a:solidFill>
                <a:latin typeface="Britannic Bold" panose="020B0903060703020204" pitchFamily="34" charset="0"/>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1073171365">
                    <a:custGeom>
                      <a:avLst/>
                      <a:gdLst>
                        <a:gd name="csX0" fmla="*/ 0 w 5977740"/>
                        <a:gd name="csY0" fmla="*/ 80195 h 801946"/>
                        <a:gd name="csX1" fmla="*/ 80195 w 5977740"/>
                        <a:gd name="csY1" fmla="*/ 0 h 801946"/>
                        <a:gd name="csX2" fmla="*/ 603757 w 5977740"/>
                        <a:gd name="csY2" fmla="*/ 0 h 801946"/>
                        <a:gd name="csX3" fmla="*/ 1010971 w 5977740"/>
                        <a:gd name="csY3" fmla="*/ 0 h 801946"/>
                        <a:gd name="csX4" fmla="*/ 1418186 w 5977740"/>
                        <a:gd name="csY4" fmla="*/ 0 h 801946"/>
                        <a:gd name="csX5" fmla="*/ 1825400 w 5977740"/>
                        <a:gd name="csY5" fmla="*/ 0 h 801946"/>
                        <a:gd name="csX6" fmla="*/ 2465309 w 5977740"/>
                        <a:gd name="csY6" fmla="*/ 0 h 801946"/>
                        <a:gd name="csX7" fmla="*/ 3163391 w 5977740"/>
                        <a:gd name="csY7" fmla="*/ 0 h 801946"/>
                        <a:gd name="csX8" fmla="*/ 3570605 w 5977740"/>
                        <a:gd name="csY8" fmla="*/ 0 h 801946"/>
                        <a:gd name="csX9" fmla="*/ 4268687 w 5977740"/>
                        <a:gd name="csY9" fmla="*/ 0 h 801946"/>
                        <a:gd name="csX10" fmla="*/ 4966769 w 5977740"/>
                        <a:gd name="csY10" fmla="*/ 0 h 801946"/>
                        <a:gd name="csX11" fmla="*/ 5897545 w 5977740"/>
                        <a:gd name="csY11" fmla="*/ 0 h 801946"/>
                        <a:gd name="csX12" fmla="*/ 5977740 w 5977740"/>
                        <a:gd name="csY12" fmla="*/ 80195 h 801946"/>
                        <a:gd name="csX13" fmla="*/ 5977740 w 5977740"/>
                        <a:gd name="csY13" fmla="*/ 400973 h 801946"/>
                        <a:gd name="csX14" fmla="*/ 5977740 w 5977740"/>
                        <a:gd name="csY14" fmla="*/ 721751 h 801946"/>
                        <a:gd name="csX15" fmla="*/ 5897545 w 5977740"/>
                        <a:gd name="csY15" fmla="*/ 801946 h 801946"/>
                        <a:gd name="csX16" fmla="*/ 5373984 w 5977740"/>
                        <a:gd name="csY16" fmla="*/ 801946 h 801946"/>
                        <a:gd name="csX17" fmla="*/ 4966769 w 5977740"/>
                        <a:gd name="csY17" fmla="*/ 801946 h 801946"/>
                        <a:gd name="csX18" fmla="*/ 4385034 w 5977740"/>
                        <a:gd name="csY18" fmla="*/ 801946 h 801946"/>
                        <a:gd name="csX19" fmla="*/ 3861472 w 5977740"/>
                        <a:gd name="csY19" fmla="*/ 801946 h 801946"/>
                        <a:gd name="csX20" fmla="*/ 3337911 w 5977740"/>
                        <a:gd name="csY20" fmla="*/ 801946 h 801946"/>
                        <a:gd name="csX21" fmla="*/ 2756176 w 5977740"/>
                        <a:gd name="csY21" fmla="*/ 801946 h 801946"/>
                        <a:gd name="csX22" fmla="*/ 2290788 w 5977740"/>
                        <a:gd name="csY22" fmla="*/ 801946 h 801946"/>
                        <a:gd name="csX23" fmla="*/ 1825400 w 5977740"/>
                        <a:gd name="csY23" fmla="*/ 801946 h 801946"/>
                        <a:gd name="csX24" fmla="*/ 1418185 w 5977740"/>
                        <a:gd name="csY24" fmla="*/ 801946 h 801946"/>
                        <a:gd name="csX25" fmla="*/ 952798 w 5977740"/>
                        <a:gd name="csY25" fmla="*/ 801946 h 801946"/>
                        <a:gd name="csX26" fmla="*/ 80195 w 5977740"/>
                        <a:gd name="csY26" fmla="*/ 801946 h 801946"/>
                        <a:gd name="csX27" fmla="*/ 0 w 5977740"/>
                        <a:gd name="csY27" fmla="*/ 721751 h 801946"/>
                        <a:gd name="csX28" fmla="*/ 0 w 5977740"/>
                        <a:gd name="csY28" fmla="*/ 413804 h 801946"/>
                        <a:gd name="csX29" fmla="*/ 0 w 5977740"/>
                        <a:gd name="csY29" fmla="*/ 80195 h 80194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Lst>
                      <a:rect l="l" t="t" r="r" b="b"/>
                      <a:pathLst>
                        <a:path w="5977740" h="801946" fill="none" extrusionOk="0">
                          <a:moveTo>
                            <a:pt x="0" y="80195"/>
                          </a:moveTo>
                          <a:cubicBezTo>
                            <a:pt x="1461" y="37370"/>
                            <a:pt x="36042" y="8309"/>
                            <a:pt x="80195" y="0"/>
                          </a:cubicBezTo>
                          <a:cubicBezTo>
                            <a:pt x="208012" y="-50743"/>
                            <a:pt x="390822" y="41257"/>
                            <a:pt x="603757" y="0"/>
                          </a:cubicBezTo>
                          <a:cubicBezTo>
                            <a:pt x="816692" y="-41257"/>
                            <a:pt x="824736" y="11304"/>
                            <a:pt x="1010971" y="0"/>
                          </a:cubicBezTo>
                          <a:cubicBezTo>
                            <a:pt x="1197206" y="-11304"/>
                            <a:pt x="1251692" y="1562"/>
                            <a:pt x="1418186" y="0"/>
                          </a:cubicBezTo>
                          <a:cubicBezTo>
                            <a:pt x="1584681" y="-1562"/>
                            <a:pt x="1703537" y="2958"/>
                            <a:pt x="1825400" y="0"/>
                          </a:cubicBezTo>
                          <a:cubicBezTo>
                            <a:pt x="1947263" y="-2958"/>
                            <a:pt x="2243888" y="53317"/>
                            <a:pt x="2465309" y="0"/>
                          </a:cubicBezTo>
                          <a:cubicBezTo>
                            <a:pt x="2686730" y="-53317"/>
                            <a:pt x="3015405" y="788"/>
                            <a:pt x="3163391" y="0"/>
                          </a:cubicBezTo>
                          <a:cubicBezTo>
                            <a:pt x="3311377" y="-788"/>
                            <a:pt x="3418886" y="28438"/>
                            <a:pt x="3570605" y="0"/>
                          </a:cubicBezTo>
                          <a:cubicBezTo>
                            <a:pt x="3722324" y="-28438"/>
                            <a:pt x="3950916" y="6797"/>
                            <a:pt x="4268687" y="0"/>
                          </a:cubicBezTo>
                          <a:cubicBezTo>
                            <a:pt x="4586458" y="-6797"/>
                            <a:pt x="4796955" y="37376"/>
                            <a:pt x="4966769" y="0"/>
                          </a:cubicBezTo>
                          <a:cubicBezTo>
                            <a:pt x="5136583" y="-37376"/>
                            <a:pt x="5634542" y="23504"/>
                            <a:pt x="5897545" y="0"/>
                          </a:cubicBezTo>
                          <a:cubicBezTo>
                            <a:pt x="5938474" y="3006"/>
                            <a:pt x="5982899" y="39855"/>
                            <a:pt x="5977740" y="80195"/>
                          </a:cubicBezTo>
                          <a:cubicBezTo>
                            <a:pt x="6000385" y="165736"/>
                            <a:pt x="5972098" y="303480"/>
                            <a:pt x="5977740" y="400973"/>
                          </a:cubicBezTo>
                          <a:cubicBezTo>
                            <a:pt x="5983382" y="498466"/>
                            <a:pt x="5951156" y="568759"/>
                            <a:pt x="5977740" y="721751"/>
                          </a:cubicBezTo>
                          <a:cubicBezTo>
                            <a:pt x="5984662" y="762821"/>
                            <a:pt x="5940035" y="800959"/>
                            <a:pt x="5897545" y="801946"/>
                          </a:cubicBezTo>
                          <a:cubicBezTo>
                            <a:pt x="5676607" y="834126"/>
                            <a:pt x="5591691" y="801204"/>
                            <a:pt x="5373984" y="801946"/>
                          </a:cubicBezTo>
                          <a:cubicBezTo>
                            <a:pt x="5156277" y="802688"/>
                            <a:pt x="5114786" y="778929"/>
                            <a:pt x="4966769" y="801946"/>
                          </a:cubicBezTo>
                          <a:cubicBezTo>
                            <a:pt x="4818753" y="824963"/>
                            <a:pt x="4558953" y="778742"/>
                            <a:pt x="4385034" y="801946"/>
                          </a:cubicBezTo>
                          <a:cubicBezTo>
                            <a:pt x="4211115" y="825150"/>
                            <a:pt x="4015364" y="739763"/>
                            <a:pt x="3861472" y="801946"/>
                          </a:cubicBezTo>
                          <a:cubicBezTo>
                            <a:pt x="3707580" y="864129"/>
                            <a:pt x="3504436" y="783246"/>
                            <a:pt x="3337911" y="801946"/>
                          </a:cubicBezTo>
                          <a:cubicBezTo>
                            <a:pt x="3171386" y="820646"/>
                            <a:pt x="2877893" y="792118"/>
                            <a:pt x="2756176" y="801946"/>
                          </a:cubicBezTo>
                          <a:cubicBezTo>
                            <a:pt x="2634459" y="811774"/>
                            <a:pt x="2452423" y="776578"/>
                            <a:pt x="2290788" y="801946"/>
                          </a:cubicBezTo>
                          <a:cubicBezTo>
                            <a:pt x="2129153" y="827314"/>
                            <a:pt x="1960408" y="761506"/>
                            <a:pt x="1825400" y="801946"/>
                          </a:cubicBezTo>
                          <a:cubicBezTo>
                            <a:pt x="1690392" y="842386"/>
                            <a:pt x="1552741" y="786814"/>
                            <a:pt x="1418185" y="801946"/>
                          </a:cubicBezTo>
                          <a:cubicBezTo>
                            <a:pt x="1283630" y="817078"/>
                            <a:pt x="1124462" y="796308"/>
                            <a:pt x="952798" y="801946"/>
                          </a:cubicBezTo>
                          <a:cubicBezTo>
                            <a:pt x="781134" y="807584"/>
                            <a:pt x="315392" y="786849"/>
                            <a:pt x="80195" y="801946"/>
                          </a:cubicBezTo>
                          <a:cubicBezTo>
                            <a:pt x="34565" y="794906"/>
                            <a:pt x="6799" y="771004"/>
                            <a:pt x="0" y="721751"/>
                          </a:cubicBezTo>
                          <a:cubicBezTo>
                            <a:pt x="-36650" y="649989"/>
                            <a:pt x="13650" y="552440"/>
                            <a:pt x="0" y="413804"/>
                          </a:cubicBezTo>
                          <a:cubicBezTo>
                            <a:pt x="-13650" y="275168"/>
                            <a:pt x="17799" y="180909"/>
                            <a:pt x="0" y="80195"/>
                          </a:cubicBezTo>
                          <a:close/>
                        </a:path>
                        <a:path w="5977740" h="801946" stroke="0" extrusionOk="0">
                          <a:moveTo>
                            <a:pt x="0" y="80195"/>
                          </a:moveTo>
                          <a:cubicBezTo>
                            <a:pt x="430" y="42886"/>
                            <a:pt x="26412" y="-2595"/>
                            <a:pt x="80195" y="0"/>
                          </a:cubicBezTo>
                          <a:cubicBezTo>
                            <a:pt x="260656" y="-48847"/>
                            <a:pt x="350003" y="41759"/>
                            <a:pt x="545583" y="0"/>
                          </a:cubicBezTo>
                          <a:cubicBezTo>
                            <a:pt x="741163" y="-41759"/>
                            <a:pt x="818728" y="37277"/>
                            <a:pt x="1069145" y="0"/>
                          </a:cubicBezTo>
                          <a:cubicBezTo>
                            <a:pt x="1319562" y="-37277"/>
                            <a:pt x="1318327" y="918"/>
                            <a:pt x="1534533" y="0"/>
                          </a:cubicBezTo>
                          <a:cubicBezTo>
                            <a:pt x="1750739" y="-918"/>
                            <a:pt x="2017037" y="64748"/>
                            <a:pt x="2174441" y="0"/>
                          </a:cubicBezTo>
                          <a:cubicBezTo>
                            <a:pt x="2331845" y="-64748"/>
                            <a:pt x="2515274" y="7122"/>
                            <a:pt x="2756176" y="0"/>
                          </a:cubicBezTo>
                          <a:cubicBezTo>
                            <a:pt x="2997078" y="-7122"/>
                            <a:pt x="3236558" y="75840"/>
                            <a:pt x="3396085" y="0"/>
                          </a:cubicBezTo>
                          <a:cubicBezTo>
                            <a:pt x="3555612" y="-75840"/>
                            <a:pt x="3772752" y="23227"/>
                            <a:pt x="3919646" y="0"/>
                          </a:cubicBezTo>
                          <a:cubicBezTo>
                            <a:pt x="4066540" y="-23227"/>
                            <a:pt x="4237918" y="6406"/>
                            <a:pt x="4326861" y="0"/>
                          </a:cubicBezTo>
                          <a:cubicBezTo>
                            <a:pt x="4415805" y="-6406"/>
                            <a:pt x="4651770" y="4873"/>
                            <a:pt x="4966769" y="0"/>
                          </a:cubicBezTo>
                          <a:cubicBezTo>
                            <a:pt x="5281768" y="-4873"/>
                            <a:pt x="5229187" y="38026"/>
                            <a:pt x="5373983" y="0"/>
                          </a:cubicBezTo>
                          <a:cubicBezTo>
                            <a:pt x="5518779" y="-38026"/>
                            <a:pt x="5736806" y="40710"/>
                            <a:pt x="5897545" y="0"/>
                          </a:cubicBezTo>
                          <a:cubicBezTo>
                            <a:pt x="5941780" y="-1546"/>
                            <a:pt x="5974440" y="36518"/>
                            <a:pt x="5977740" y="80195"/>
                          </a:cubicBezTo>
                          <a:cubicBezTo>
                            <a:pt x="5984817" y="154612"/>
                            <a:pt x="5974973" y="321356"/>
                            <a:pt x="5977740" y="388142"/>
                          </a:cubicBezTo>
                          <a:cubicBezTo>
                            <a:pt x="5980507" y="454928"/>
                            <a:pt x="5960676" y="638849"/>
                            <a:pt x="5977740" y="721751"/>
                          </a:cubicBezTo>
                          <a:cubicBezTo>
                            <a:pt x="5979119" y="768410"/>
                            <a:pt x="5953425" y="802191"/>
                            <a:pt x="5897545" y="801946"/>
                          </a:cubicBezTo>
                          <a:cubicBezTo>
                            <a:pt x="5586559" y="822364"/>
                            <a:pt x="5525159" y="800094"/>
                            <a:pt x="5257637" y="801946"/>
                          </a:cubicBezTo>
                          <a:cubicBezTo>
                            <a:pt x="4990115" y="803798"/>
                            <a:pt x="4945667" y="759115"/>
                            <a:pt x="4792249" y="801946"/>
                          </a:cubicBezTo>
                          <a:cubicBezTo>
                            <a:pt x="4638831" y="844777"/>
                            <a:pt x="4513233" y="757840"/>
                            <a:pt x="4326861" y="801946"/>
                          </a:cubicBezTo>
                          <a:cubicBezTo>
                            <a:pt x="4140489" y="846052"/>
                            <a:pt x="3866218" y="782288"/>
                            <a:pt x="3745126" y="801946"/>
                          </a:cubicBezTo>
                          <a:cubicBezTo>
                            <a:pt x="3624034" y="821604"/>
                            <a:pt x="3286743" y="726065"/>
                            <a:pt x="3105217" y="801946"/>
                          </a:cubicBezTo>
                          <a:cubicBezTo>
                            <a:pt x="2923691" y="877827"/>
                            <a:pt x="2780693" y="789111"/>
                            <a:pt x="2639829" y="801946"/>
                          </a:cubicBezTo>
                          <a:cubicBezTo>
                            <a:pt x="2498965" y="814781"/>
                            <a:pt x="2374846" y="789234"/>
                            <a:pt x="2232615" y="801946"/>
                          </a:cubicBezTo>
                          <a:cubicBezTo>
                            <a:pt x="2090384" y="814658"/>
                            <a:pt x="1951942" y="782502"/>
                            <a:pt x="1709053" y="801946"/>
                          </a:cubicBezTo>
                          <a:cubicBezTo>
                            <a:pt x="1466164" y="821390"/>
                            <a:pt x="1384588" y="757818"/>
                            <a:pt x="1301839" y="801946"/>
                          </a:cubicBezTo>
                          <a:cubicBezTo>
                            <a:pt x="1219090" y="846074"/>
                            <a:pt x="1020184" y="754356"/>
                            <a:pt x="894624" y="801946"/>
                          </a:cubicBezTo>
                          <a:cubicBezTo>
                            <a:pt x="769064" y="849536"/>
                            <a:pt x="433065" y="801247"/>
                            <a:pt x="80195" y="801946"/>
                          </a:cubicBezTo>
                          <a:cubicBezTo>
                            <a:pt x="31645" y="802348"/>
                            <a:pt x="3863" y="769634"/>
                            <a:pt x="0" y="721751"/>
                          </a:cubicBezTo>
                          <a:cubicBezTo>
                            <a:pt x="-30580" y="642383"/>
                            <a:pt x="6701" y="473943"/>
                            <a:pt x="0" y="388142"/>
                          </a:cubicBezTo>
                          <a:cubicBezTo>
                            <a:pt x="-6701" y="302341"/>
                            <a:pt x="6737" y="182297"/>
                            <a:pt x="0" y="80195"/>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1604217800">
                    <a:custGeom>
                      <a:avLst/>
                      <a:gdLst>
                        <a:gd name="csX0" fmla="*/ 0 w 5269576"/>
                        <a:gd name="csY0" fmla="*/ 88068 h 2666301"/>
                        <a:gd name="csX1" fmla="*/ 88068 w 5269576"/>
                        <a:gd name="csY1" fmla="*/ 0 h 2666301"/>
                        <a:gd name="csX2" fmla="*/ 704940 w 5269576"/>
                        <a:gd name="csY2" fmla="*/ 0 h 2666301"/>
                        <a:gd name="csX3" fmla="*/ 1118075 w 5269576"/>
                        <a:gd name="csY3" fmla="*/ 0 h 2666301"/>
                        <a:gd name="csX4" fmla="*/ 1734947 w 5269576"/>
                        <a:gd name="csY4" fmla="*/ 0 h 2666301"/>
                        <a:gd name="csX5" fmla="*/ 2402754 w 5269576"/>
                        <a:gd name="csY5" fmla="*/ 0 h 2666301"/>
                        <a:gd name="csX6" fmla="*/ 2968691 w 5269576"/>
                        <a:gd name="csY6" fmla="*/ 0 h 2666301"/>
                        <a:gd name="csX7" fmla="*/ 3534629 w 5269576"/>
                        <a:gd name="csY7" fmla="*/ 0 h 2666301"/>
                        <a:gd name="csX8" fmla="*/ 4202436 w 5269576"/>
                        <a:gd name="csY8" fmla="*/ 0 h 2666301"/>
                        <a:gd name="csX9" fmla="*/ 5181508 w 5269576"/>
                        <a:gd name="csY9" fmla="*/ 0 h 2666301"/>
                        <a:gd name="csX10" fmla="*/ 5269576 w 5269576"/>
                        <a:gd name="csY10" fmla="*/ 88068 h 2666301"/>
                        <a:gd name="csX11" fmla="*/ 5269576 w 5269576"/>
                        <a:gd name="csY11" fmla="*/ 561199 h 2666301"/>
                        <a:gd name="csX12" fmla="*/ 5269576 w 5269576"/>
                        <a:gd name="csY12" fmla="*/ 1009429 h 2666301"/>
                        <a:gd name="csX13" fmla="*/ 5269576 w 5269576"/>
                        <a:gd name="csY13" fmla="*/ 1482560 h 2666301"/>
                        <a:gd name="csX14" fmla="*/ 5269576 w 5269576"/>
                        <a:gd name="csY14" fmla="*/ 1980593 h 2666301"/>
                        <a:gd name="csX15" fmla="*/ 5269576 w 5269576"/>
                        <a:gd name="csY15" fmla="*/ 2578233 h 2666301"/>
                        <a:gd name="csX16" fmla="*/ 5181508 w 5269576"/>
                        <a:gd name="csY16" fmla="*/ 2666301 h 2666301"/>
                        <a:gd name="csX17" fmla="*/ 4513701 w 5269576"/>
                        <a:gd name="csY17" fmla="*/ 2666301 h 2666301"/>
                        <a:gd name="csX18" fmla="*/ 3845895 w 5269576"/>
                        <a:gd name="csY18" fmla="*/ 2666301 h 2666301"/>
                        <a:gd name="csX19" fmla="*/ 3229023 w 5269576"/>
                        <a:gd name="csY19" fmla="*/ 2666301 h 2666301"/>
                        <a:gd name="csX20" fmla="*/ 2663085 w 5269576"/>
                        <a:gd name="csY20" fmla="*/ 2666301 h 2666301"/>
                        <a:gd name="csX21" fmla="*/ 2199016 w 5269576"/>
                        <a:gd name="csY21" fmla="*/ 2666301 h 2666301"/>
                        <a:gd name="csX22" fmla="*/ 1582144 w 5269576"/>
                        <a:gd name="csY22" fmla="*/ 2666301 h 2666301"/>
                        <a:gd name="csX23" fmla="*/ 1067140 w 5269576"/>
                        <a:gd name="csY23" fmla="*/ 2666301 h 2666301"/>
                        <a:gd name="csX24" fmla="*/ 88068 w 5269576"/>
                        <a:gd name="csY24" fmla="*/ 2666301 h 2666301"/>
                        <a:gd name="csX25" fmla="*/ 0 w 5269576"/>
                        <a:gd name="csY25" fmla="*/ 2578233 h 2666301"/>
                        <a:gd name="csX26" fmla="*/ 0 w 5269576"/>
                        <a:gd name="csY26" fmla="*/ 2055298 h 2666301"/>
                        <a:gd name="csX27" fmla="*/ 0 w 5269576"/>
                        <a:gd name="csY27" fmla="*/ 1582167 h 2666301"/>
                        <a:gd name="csX28" fmla="*/ 0 w 5269576"/>
                        <a:gd name="csY28" fmla="*/ 1109036 h 2666301"/>
                        <a:gd name="csX29" fmla="*/ 0 w 5269576"/>
                        <a:gd name="csY29" fmla="*/ 611003 h 2666301"/>
                        <a:gd name="csX30" fmla="*/ 0 w 5269576"/>
                        <a:gd name="csY30" fmla="*/ 88068 h 266630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Lst>
                      <a:rect l="l" t="t" r="r" b="b"/>
                      <a:pathLst>
                        <a:path w="5269576" h="2666301" fill="none" extrusionOk="0">
                          <a:moveTo>
                            <a:pt x="0" y="88068"/>
                          </a:moveTo>
                          <a:cubicBezTo>
                            <a:pt x="1349" y="46471"/>
                            <a:pt x="36616" y="-1089"/>
                            <a:pt x="88068" y="0"/>
                          </a:cubicBezTo>
                          <a:cubicBezTo>
                            <a:pt x="317200" y="-42407"/>
                            <a:pt x="576974" y="12433"/>
                            <a:pt x="704940" y="0"/>
                          </a:cubicBezTo>
                          <a:cubicBezTo>
                            <a:pt x="832906" y="-12433"/>
                            <a:pt x="922633" y="11501"/>
                            <a:pt x="1118075" y="0"/>
                          </a:cubicBezTo>
                          <a:cubicBezTo>
                            <a:pt x="1313517" y="-11501"/>
                            <a:pt x="1499714" y="51504"/>
                            <a:pt x="1734947" y="0"/>
                          </a:cubicBezTo>
                          <a:cubicBezTo>
                            <a:pt x="1970180" y="-51504"/>
                            <a:pt x="2104857" y="38448"/>
                            <a:pt x="2402754" y="0"/>
                          </a:cubicBezTo>
                          <a:cubicBezTo>
                            <a:pt x="2700651" y="-38448"/>
                            <a:pt x="2836958" y="58414"/>
                            <a:pt x="2968691" y="0"/>
                          </a:cubicBezTo>
                          <a:cubicBezTo>
                            <a:pt x="3100424" y="-58414"/>
                            <a:pt x="3397945" y="9898"/>
                            <a:pt x="3534629" y="0"/>
                          </a:cubicBezTo>
                          <a:cubicBezTo>
                            <a:pt x="3671313" y="-9898"/>
                            <a:pt x="3976475" y="56317"/>
                            <a:pt x="4202436" y="0"/>
                          </a:cubicBezTo>
                          <a:cubicBezTo>
                            <a:pt x="4428397" y="-56317"/>
                            <a:pt x="4748805" y="59064"/>
                            <a:pt x="5181508" y="0"/>
                          </a:cubicBezTo>
                          <a:cubicBezTo>
                            <a:pt x="5230421" y="6271"/>
                            <a:pt x="5263225" y="51370"/>
                            <a:pt x="5269576" y="88068"/>
                          </a:cubicBezTo>
                          <a:cubicBezTo>
                            <a:pt x="5270397" y="323071"/>
                            <a:pt x="5258593" y="334455"/>
                            <a:pt x="5269576" y="561199"/>
                          </a:cubicBezTo>
                          <a:cubicBezTo>
                            <a:pt x="5280559" y="787943"/>
                            <a:pt x="5217524" y="798022"/>
                            <a:pt x="5269576" y="1009429"/>
                          </a:cubicBezTo>
                          <a:cubicBezTo>
                            <a:pt x="5321628" y="1220836"/>
                            <a:pt x="5260160" y="1276439"/>
                            <a:pt x="5269576" y="1482560"/>
                          </a:cubicBezTo>
                          <a:cubicBezTo>
                            <a:pt x="5278992" y="1688681"/>
                            <a:pt x="5248314" y="1760931"/>
                            <a:pt x="5269576" y="1980593"/>
                          </a:cubicBezTo>
                          <a:cubicBezTo>
                            <a:pt x="5290838" y="2200255"/>
                            <a:pt x="5218899" y="2372734"/>
                            <a:pt x="5269576" y="2578233"/>
                          </a:cubicBezTo>
                          <a:cubicBezTo>
                            <a:pt x="5260314" y="2623819"/>
                            <a:pt x="5220683" y="2659743"/>
                            <a:pt x="5181508" y="2666301"/>
                          </a:cubicBezTo>
                          <a:cubicBezTo>
                            <a:pt x="4860640" y="2741033"/>
                            <a:pt x="4817650" y="2655834"/>
                            <a:pt x="4513701" y="2666301"/>
                          </a:cubicBezTo>
                          <a:cubicBezTo>
                            <a:pt x="4209752" y="2676768"/>
                            <a:pt x="4064402" y="2614371"/>
                            <a:pt x="3845895" y="2666301"/>
                          </a:cubicBezTo>
                          <a:cubicBezTo>
                            <a:pt x="3627388" y="2718231"/>
                            <a:pt x="3515592" y="2626328"/>
                            <a:pt x="3229023" y="2666301"/>
                          </a:cubicBezTo>
                          <a:cubicBezTo>
                            <a:pt x="2942454" y="2706274"/>
                            <a:pt x="2801386" y="2607102"/>
                            <a:pt x="2663085" y="2666301"/>
                          </a:cubicBezTo>
                          <a:cubicBezTo>
                            <a:pt x="2524784" y="2725500"/>
                            <a:pt x="2332139" y="2654337"/>
                            <a:pt x="2199016" y="2666301"/>
                          </a:cubicBezTo>
                          <a:cubicBezTo>
                            <a:pt x="2065893" y="2678265"/>
                            <a:pt x="1813130" y="2609974"/>
                            <a:pt x="1582144" y="2666301"/>
                          </a:cubicBezTo>
                          <a:cubicBezTo>
                            <a:pt x="1351158" y="2722628"/>
                            <a:pt x="1213017" y="2638225"/>
                            <a:pt x="1067140" y="2666301"/>
                          </a:cubicBezTo>
                          <a:cubicBezTo>
                            <a:pt x="921263" y="2694377"/>
                            <a:pt x="365016" y="2648734"/>
                            <a:pt x="88068" y="2666301"/>
                          </a:cubicBezTo>
                          <a:cubicBezTo>
                            <a:pt x="49198" y="2671835"/>
                            <a:pt x="9083" y="2625412"/>
                            <a:pt x="0" y="2578233"/>
                          </a:cubicBezTo>
                          <a:cubicBezTo>
                            <a:pt x="-18171" y="2466217"/>
                            <a:pt x="11935" y="2273775"/>
                            <a:pt x="0" y="2055298"/>
                          </a:cubicBezTo>
                          <a:cubicBezTo>
                            <a:pt x="-11935" y="1836821"/>
                            <a:pt x="19936" y="1727300"/>
                            <a:pt x="0" y="1582167"/>
                          </a:cubicBezTo>
                          <a:cubicBezTo>
                            <a:pt x="-19936" y="1437034"/>
                            <a:pt x="7555" y="1337476"/>
                            <a:pt x="0" y="1109036"/>
                          </a:cubicBezTo>
                          <a:cubicBezTo>
                            <a:pt x="-7555" y="880596"/>
                            <a:pt x="5324" y="822433"/>
                            <a:pt x="0" y="611003"/>
                          </a:cubicBezTo>
                          <a:cubicBezTo>
                            <a:pt x="-5324" y="399573"/>
                            <a:pt x="61354" y="284902"/>
                            <a:pt x="0" y="88068"/>
                          </a:cubicBezTo>
                          <a:close/>
                        </a:path>
                        <a:path w="5269576" h="2666301" stroke="0" extrusionOk="0">
                          <a:moveTo>
                            <a:pt x="0" y="88068"/>
                          </a:moveTo>
                          <a:cubicBezTo>
                            <a:pt x="2252" y="41832"/>
                            <a:pt x="35924" y="-3829"/>
                            <a:pt x="88068" y="0"/>
                          </a:cubicBezTo>
                          <a:cubicBezTo>
                            <a:pt x="310003" y="-10670"/>
                            <a:pt x="391013" y="39004"/>
                            <a:pt x="552137" y="0"/>
                          </a:cubicBezTo>
                          <a:cubicBezTo>
                            <a:pt x="713261" y="-39004"/>
                            <a:pt x="995584" y="43555"/>
                            <a:pt x="1169009" y="0"/>
                          </a:cubicBezTo>
                          <a:cubicBezTo>
                            <a:pt x="1342434" y="-43555"/>
                            <a:pt x="1463460" y="6911"/>
                            <a:pt x="1684013" y="0"/>
                          </a:cubicBezTo>
                          <a:cubicBezTo>
                            <a:pt x="1904566" y="-6911"/>
                            <a:pt x="1998868" y="3632"/>
                            <a:pt x="2148082" y="0"/>
                          </a:cubicBezTo>
                          <a:cubicBezTo>
                            <a:pt x="2297296" y="-3632"/>
                            <a:pt x="2660866" y="22595"/>
                            <a:pt x="2815888" y="0"/>
                          </a:cubicBezTo>
                          <a:cubicBezTo>
                            <a:pt x="2970910" y="-22595"/>
                            <a:pt x="3224082" y="78297"/>
                            <a:pt x="3483695" y="0"/>
                          </a:cubicBezTo>
                          <a:cubicBezTo>
                            <a:pt x="3743308" y="-78297"/>
                            <a:pt x="3843369" y="31811"/>
                            <a:pt x="4151501" y="0"/>
                          </a:cubicBezTo>
                          <a:cubicBezTo>
                            <a:pt x="4459633" y="-31811"/>
                            <a:pt x="4489639" y="49662"/>
                            <a:pt x="4615570" y="0"/>
                          </a:cubicBezTo>
                          <a:cubicBezTo>
                            <a:pt x="4741501" y="-49662"/>
                            <a:pt x="4995390" y="30674"/>
                            <a:pt x="5181508" y="0"/>
                          </a:cubicBezTo>
                          <a:cubicBezTo>
                            <a:pt x="5225125" y="-742"/>
                            <a:pt x="5268192" y="35699"/>
                            <a:pt x="5269576" y="88068"/>
                          </a:cubicBezTo>
                          <a:cubicBezTo>
                            <a:pt x="5312668" y="275721"/>
                            <a:pt x="5249274" y="404737"/>
                            <a:pt x="5269576" y="536298"/>
                          </a:cubicBezTo>
                          <a:cubicBezTo>
                            <a:pt x="5289878" y="667859"/>
                            <a:pt x="5240053" y="792294"/>
                            <a:pt x="5269576" y="959626"/>
                          </a:cubicBezTo>
                          <a:cubicBezTo>
                            <a:pt x="5299099" y="1126958"/>
                            <a:pt x="5241105" y="1314163"/>
                            <a:pt x="5269576" y="1507462"/>
                          </a:cubicBezTo>
                          <a:cubicBezTo>
                            <a:pt x="5298047" y="1700761"/>
                            <a:pt x="5231885" y="1774375"/>
                            <a:pt x="5269576" y="1955692"/>
                          </a:cubicBezTo>
                          <a:cubicBezTo>
                            <a:pt x="5307267" y="2137009"/>
                            <a:pt x="5267676" y="2425321"/>
                            <a:pt x="5269576" y="2578233"/>
                          </a:cubicBezTo>
                          <a:cubicBezTo>
                            <a:pt x="5270240" y="2615650"/>
                            <a:pt x="5225568" y="2652631"/>
                            <a:pt x="5181508" y="2666301"/>
                          </a:cubicBezTo>
                          <a:cubicBezTo>
                            <a:pt x="4997947" y="2716273"/>
                            <a:pt x="4885326" y="2624123"/>
                            <a:pt x="4615570" y="2666301"/>
                          </a:cubicBezTo>
                          <a:cubicBezTo>
                            <a:pt x="4345814" y="2708479"/>
                            <a:pt x="4367550" y="2627960"/>
                            <a:pt x="4202436" y="2666301"/>
                          </a:cubicBezTo>
                          <a:cubicBezTo>
                            <a:pt x="4037322" y="2704642"/>
                            <a:pt x="3880009" y="2647351"/>
                            <a:pt x="3585563" y="2666301"/>
                          </a:cubicBezTo>
                          <a:cubicBezTo>
                            <a:pt x="3291117" y="2685251"/>
                            <a:pt x="3274516" y="2629628"/>
                            <a:pt x="3121494" y="2666301"/>
                          </a:cubicBezTo>
                          <a:cubicBezTo>
                            <a:pt x="2968472" y="2702974"/>
                            <a:pt x="2859154" y="2648520"/>
                            <a:pt x="2657426" y="2666301"/>
                          </a:cubicBezTo>
                          <a:cubicBezTo>
                            <a:pt x="2455698" y="2684082"/>
                            <a:pt x="2352070" y="2663917"/>
                            <a:pt x="2193357" y="2666301"/>
                          </a:cubicBezTo>
                          <a:cubicBezTo>
                            <a:pt x="2034644" y="2668685"/>
                            <a:pt x="1860823" y="2631300"/>
                            <a:pt x="1729288" y="2666301"/>
                          </a:cubicBezTo>
                          <a:cubicBezTo>
                            <a:pt x="1597753" y="2701302"/>
                            <a:pt x="1490461" y="2628718"/>
                            <a:pt x="1316153" y="2666301"/>
                          </a:cubicBezTo>
                          <a:cubicBezTo>
                            <a:pt x="1141846" y="2703884"/>
                            <a:pt x="1107291" y="2640876"/>
                            <a:pt x="903018" y="2666301"/>
                          </a:cubicBezTo>
                          <a:cubicBezTo>
                            <a:pt x="698746" y="2691726"/>
                            <a:pt x="312700" y="2576219"/>
                            <a:pt x="88068" y="2666301"/>
                          </a:cubicBezTo>
                          <a:cubicBezTo>
                            <a:pt x="47409" y="2662836"/>
                            <a:pt x="-168" y="2634831"/>
                            <a:pt x="0" y="2578233"/>
                          </a:cubicBezTo>
                          <a:cubicBezTo>
                            <a:pt x="-45362" y="2344826"/>
                            <a:pt x="43145" y="2199373"/>
                            <a:pt x="0" y="2055298"/>
                          </a:cubicBezTo>
                          <a:cubicBezTo>
                            <a:pt x="-43145" y="1911223"/>
                            <a:pt x="44088" y="1770324"/>
                            <a:pt x="0" y="1557265"/>
                          </a:cubicBezTo>
                          <a:cubicBezTo>
                            <a:pt x="-44088" y="1344206"/>
                            <a:pt x="52644" y="1228278"/>
                            <a:pt x="0" y="1009429"/>
                          </a:cubicBezTo>
                          <a:cubicBezTo>
                            <a:pt x="-52644" y="790580"/>
                            <a:pt x="48547" y="703169"/>
                            <a:pt x="0" y="586101"/>
                          </a:cubicBezTo>
                          <a:cubicBezTo>
                            <a:pt x="-48547" y="469033"/>
                            <a:pt x="28196" y="263460"/>
                            <a:pt x="0" y="88068"/>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a:grpFill/>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2615464942">
                      <a:custGeom>
                        <a:avLst/>
                        <a:gdLst>
                          <a:gd name="csX0" fmla="*/ 0 w 2820705"/>
                          <a:gd name="csY0" fmla="*/ 58088 h 960457"/>
                          <a:gd name="csX1" fmla="*/ 58088 w 2820705"/>
                          <a:gd name="csY1" fmla="*/ 0 h 960457"/>
                          <a:gd name="csX2" fmla="*/ 598994 w 2820705"/>
                          <a:gd name="csY2" fmla="*/ 0 h 960457"/>
                          <a:gd name="csX3" fmla="*/ 1112854 w 2820705"/>
                          <a:gd name="csY3" fmla="*/ 0 h 960457"/>
                          <a:gd name="csX4" fmla="*/ 1680805 w 2820705"/>
                          <a:gd name="csY4" fmla="*/ 0 h 960457"/>
                          <a:gd name="csX5" fmla="*/ 2248756 w 2820705"/>
                          <a:gd name="csY5" fmla="*/ 0 h 960457"/>
                          <a:gd name="csX6" fmla="*/ 2762617 w 2820705"/>
                          <a:gd name="csY6" fmla="*/ 0 h 960457"/>
                          <a:gd name="csX7" fmla="*/ 2820705 w 2820705"/>
                          <a:gd name="csY7" fmla="*/ 58088 h 960457"/>
                          <a:gd name="csX8" fmla="*/ 2820705 w 2820705"/>
                          <a:gd name="csY8" fmla="*/ 480229 h 960457"/>
                          <a:gd name="csX9" fmla="*/ 2820705 w 2820705"/>
                          <a:gd name="csY9" fmla="*/ 902369 h 960457"/>
                          <a:gd name="csX10" fmla="*/ 2762617 w 2820705"/>
                          <a:gd name="csY10" fmla="*/ 960457 h 960457"/>
                          <a:gd name="csX11" fmla="*/ 2167621 w 2820705"/>
                          <a:gd name="csY11" fmla="*/ 960457 h 960457"/>
                          <a:gd name="csX12" fmla="*/ 1707851 w 2820705"/>
                          <a:gd name="csY12" fmla="*/ 960457 h 960457"/>
                          <a:gd name="csX13" fmla="*/ 1193990 w 2820705"/>
                          <a:gd name="csY13" fmla="*/ 960457 h 960457"/>
                          <a:gd name="csX14" fmla="*/ 680130 w 2820705"/>
                          <a:gd name="csY14" fmla="*/ 960457 h 960457"/>
                          <a:gd name="csX15" fmla="*/ 58088 w 2820705"/>
                          <a:gd name="csY15" fmla="*/ 960457 h 960457"/>
                          <a:gd name="csX16" fmla="*/ 0 w 2820705"/>
                          <a:gd name="csY16" fmla="*/ 902369 h 960457"/>
                          <a:gd name="csX17" fmla="*/ 0 w 2820705"/>
                          <a:gd name="csY17" fmla="*/ 505557 h 960457"/>
                          <a:gd name="csX18" fmla="*/ 0 w 2820705"/>
                          <a:gd name="csY18" fmla="*/ 58088 h 96045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2820705" h="960457" fill="none" extrusionOk="0">
                            <a:moveTo>
                              <a:pt x="0" y="58088"/>
                            </a:moveTo>
                            <a:cubicBezTo>
                              <a:pt x="4312" y="20456"/>
                              <a:pt x="29779" y="394"/>
                              <a:pt x="58088" y="0"/>
                            </a:cubicBezTo>
                            <a:cubicBezTo>
                              <a:pt x="177861" y="-37191"/>
                              <a:pt x="480582" y="41358"/>
                              <a:pt x="598994" y="0"/>
                            </a:cubicBezTo>
                            <a:cubicBezTo>
                              <a:pt x="717406" y="-41358"/>
                              <a:pt x="889258" y="37724"/>
                              <a:pt x="1112854" y="0"/>
                            </a:cubicBezTo>
                            <a:cubicBezTo>
                              <a:pt x="1336450" y="-37724"/>
                              <a:pt x="1512979" y="22039"/>
                              <a:pt x="1680805" y="0"/>
                            </a:cubicBezTo>
                            <a:cubicBezTo>
                              <a:pt x="1848631" y="-22039"/>
                              <a:pt x="2027503" y="38489"/>
                              <a:pt x="2248756" y="0"/>
                            </a:cubicBezTo>
                            <a:cubicBezTo>
                              <a:pt x="2470009" y="-38489"/>
                              <a:pt x="2589319" y="11340"/>
                              <a:pt x="2762617" y="0"/>
                            </a:cubicBezTo>
                            <a:cubicBezTo>
                              <a:pt x="2797964" y="365"/>
                              <a:pt x="2823371" y="27699"/>
                              <a:pt x="2820705" y="58088"/>
                            </a:cubicBezTo>
                            <a:cubicBezTo>
                              <a:pt x="2824596" y="259546"/>
                              <a:pt x="2784543" y="316556"/>
                              <a:pt x="2820705" y="480229"/>
                            </a:cubicBezTo>
                            <a:cubicBezTo>
                              <a:pt x="2856867" y="643902"/>
                              <a:pt x="2811216" y="793841"/>
                              <a:pt x="2820705" y="902369"/>
                            </a:cubicBezTo>
                            <a:cubicBezTo>
                              <a:pt x="2828577" y="932882"/>
                              <a:pt x="2795175" y="962946"/>
                              <a:pt x="2762617" y="960457"/>
                            </a:cubicBezTo>
                            <a:cubicBezTo>
                              <a:pt x="2618308" y="1012693"/>
                              <a:pt x="2400597" y="959990"/>
                              <a:pt x="2167621" y="960457"/>
                            </a:cubicBezTo>
                            <a:cubicBezTo>
                              <a:pt x="1934645" y="960924"/>
                              <a:pt x="1887202" y="925458"/>
                              <a:pt x="1707851" y="960457"/>
                            </a:cubicBezTo>
                            <a:cubicBezTo>
                              <a:pt x="1528500" y="995456"/>
                              <a:pt x="1332024" y="925231"/>
                              <a:pt x="1193990" y="960457"/>
                            </a:cubicBezTo>
                            <a:cubicBezTo>
                              <a:pt x="1055956" y="995683"/>
                              <a:pt x="810328" y="942136"/>
                              <a:pt x="680130" y="960457"/>
                            </a:cubicBezTo>
                            <a:cubicBezTo>
                              <a:pt x="549932" y="978778"/>
                              <a:pt x="327738" y="899277"/>
                              <a:pt x="58088" y="960457"/>
                            </a:cubicBezTo>
                            <a:cubicBezTo>
                              <a:pt x="31444" y="961326"/>
                              <a:pt x="-6139" y="928898"/>
                              <a:pt x="0" y="902369"/>
                            </a:cubicBezTo>
                            <a:cubicBezTo>
                              <a:pt x="-35866" y="740778"/>
                              <a:pt x="44733" y="633526"/>
                              <a:pt x="0" y="505557"/>
                            </a:cubicBezTo>
                            <a:cubicBezTo>
                              <a:pt x="-44733" y="377588"/>
                              <a:pt x="17284" y="187386"/>
                              <a:pt x="0" y="58088"/>
                            </a:cubicBezTo>
                            <a:close/>
                          </a:path>
                          <a:path w="2820705" h="960457" stroke="0" extrusionOk="0">
                            <a:moveTo>
                              <a:pt x="0" y="58088"/>
                            </a:moveTo>
                            <a:cubicBezTo>
                              <a:pt x="689" y="25014"/>
                              <a:pt x="25007" y="-424"/>
                              <a:pt x="58088" y="0"/>
                            </a:cubicBezTo>
                            <a:cubicBezTo>
                              <a:pt x="216441" y="-69687"/>
                              <a:pt x="530981" y="45285"/>
                              <a:pt x="653084" y="0"/>
                            </a:cubicBezTo>
                            <a:cubicBezTo>
                              <a:pt x="775187" y="-45285"/>
                              <a:pt x="1078467" y="35559"/>
                              <a:pt x="1221035" y="0"/>
                            </a:cubicBezTo>
                            <a:cubicBezTo>
                              <a:pt x="1363603" y="-35559"/>
                              <a:pt x="1606534" y="38535"/>
                              <a:pt x="1761941" y="0"/>
                            </a:cubicBezTo>
                            <a:cubicBezTo>
                              <a:pt x="1917348" y="-38535"/>
                              <a:pt x="2517045" y="83574"/>
                              <a:pt x="2762617" y="0"/>
                            </a:cubicBezTo>
                            <a:cubicBezTo>
                              <a:pt x="2797954" y="-2645"/>
                              <a:pt x="2815966" y="23786"/>
                              <a:pt x="2820705" y="58088"/>
                            </a:cubicBezTo>
                            <a:cubicBezTo>
                              <a:pt x="2855539" y="180359"/>
                              <a:pt x="2815937" y="364571"/>
                              <a:pt x="2820705" y="454900"/>
                            </a:cubicBezTo>
                            <a:cubicBezTo>
                              <a:pt x="2825473" y="545229"/>
                              <a:pt x="2804447" y="733582"/>
                              <a:pt x="2820705" y="902369"/>
                            </a:cubicBezTo>
                            <a:cubicBezTo>
                              <a:pt x="2821887" y="934862"/>
                              <a:pt x="2792483" y="956927"/>
                              <a:pt x="2762617" y="960457"/>
                            </a:cubicBezTo>
                            <a:cubicBezTo>
                              <a:pt x="2584330" y="987731"/>
                              <a:pt x="2398904" y="934726"/>
                              <a:pt x="2194666" y="960457"/>
                            </a:cubicBezTo>
                            <a:cubicBezTo>
                              <a:pt x="1990428" y="986188"/>
                              <a:pt x="1909785" y="948034"/>
                              <a:pt x="1680805" y="960457"/>
                            </a:cubicBezTo>
                            <a:cubicBezTo>
                              <a:pt x="1451825" y="972880"/>
                              <a:pt x="1275050" y="920884"/>
                              <a:pt x="1166945" y="960457"/>
                            </a:cubicBezTo>
                            <a:cubicBezTo>
                              <a:pt x="1058840" y="1000030"/>
                              <a:pt x="857231" y="902477"/>
                              <a:pt x="598994" y="960457"/>
                            </a:cubicBezTo>
                            <a:cubicBezTo>
                              <a:pt x="340757" y="1018437"/>
                              <a:pt x="287989" y="913559"/>
                              <a:pt x="58088" y="960457"/>
                            </a:cubicBezTo>
                            <a:cubicBezTo>
                              <a:pt x="29984" y="968635"/>
                              <a:pt x="-7312" y="938855"/>
                              <a:pt x="0" y="902369"/>
                            </a:cubicBezTo>
                            <a:cubicBezTo>
                              <a:pt x="-22137" y="700671"/>
                              <a:pt x="24811" y="631197"/>
                              <a:pt x="0" y="471786"/>
                            </a:cubicBezTo>
                            <a:cubicBezTo>
                              <a:pt x="-24811" y="312375"/>
                              <a:pt x="1303" y="204647"/>
                              <a:pt x="0" y="58088"/>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85969667">
                      <a:custGeom>
                        <a:avLst/>
                        <a:gdLst>
                          <a:gd name="csX0" fmla="*/ 0 w 2820705"/>
                          <a:gd name="csY0" fmla="*/ 58088 h 960457"/>
                          <a:gd name="csX1" fmla="*/ 58088 w 2820705"/>
                          <a:gd name="csY1" fmla="*/ 0 h 960457"/>
                          <a:gd name="csX2" fmla="*/ 626039 w 2820705"/>
                          <a:gd name="csY2" fmla="*/ 0 h 960457"/>
                          <a:gd name="csX3" fmla="*/ 1193990 w 2820705"/>
                          <a:gd name="csY3" fmla="*/ 0 h 960457"/>
                          <a:gd name="csX4" fmla="*/ 1653760 w 2820705"/>
                          <a:gd name="csY4" fmla="*/ 0 h 960457"/>
                          <a:gd name="csX5" fmla="*/ 2113530 w 2820705"/>
                          <a:gd name="csY5" fmla="*/ 0 h 960457"/>
                          <a:gd name="csX6" fmla="*/ 2762617 w 2820705"/>
                          <a:gd name="csY6" fmla="*/ 0 h 960457"/>
                          <a:gd name="csX7" fmla="*/ 2820705 w 2820705"/>
                          <a:gd name="csY7" fmla="*/ 58088 h 960457"/>
                          <a:gd name="csX8" fmla="*/ 2820705 w 2820705"/>
                          <a:gd name="csY8" fmla="*/ 488671 h 960457"/>
                          <a:gd name="csX9" fmla="*/ 2820705 w 2820705"/>
                          <a:gd name="csY9" fmla="*/ 902369 h 960457"/>
                          <a:gd name="csX10" fmla="*/ 2762617 w 2820705"/>
                          <a:gd name="csY10" fmla="*/ 960457 h 960457"/>
                          <a:gd name="csX11" fmla="*/ 2248756 w 2820705"/>
                          <a:gd name="csY11" fmla="*/ 960457 h 960457"/>
                          <a:gd name="csX12" fmla="*/ 1680805 w 2820705"/>
                          <a:gd name="csY12" fmla="*/ 960457 h 960457"/>
                          <a:gd name="csX13" fmla="*/ 1112854 w 2820705"/>
                          <a:gd name="csY13" fmla="*/ 960457 h 960457"/>
                          <a:gd name="csX14" fmla="*/ 653084 w 2820705"/>
                          <a:gd name="csY14" fmla="*/ 960457 h 960457"/>
                          <a:gd name="csX15" fmla="*/ 58088 w 2820705"/>
                          <a:gd name="csY15" fmla="*/ 960457 h 960457"/>
                          <a:gd name="csX16" fmla="*/ 0 w 2820705"/>
                          <a:gd name="csY16" fmla="*/ 902369 h 960457"/>
                          <a:gd name="csX17" fmla="*/ 0 w 2820705"/>
                          <a:gd name="csY17" fmla="*/ 497114 h 960457"/>
                          <a:gd name="csX18" fmla="*/ 0 w 2820705"/>
                          <a:gd name="csY18" fmla="*/ 58088 h 96045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2820705" h="960457" fill="none" extrusionOk="0">
                            <a:moveTo>
                              <a:pt x="0" y="58088"/>
                            </a:moveTo>
                            <a:cubicBezTo>
                              <a:pt x="5646" y="32065"/>
                              <a:pt x="34504" y="3620"/>
                              <a:pt x="58088" y="0"/>
                            </a:cubicBezTo>
                            <a:cubicBezTo>
                              <a:pt x="308088" y="-55690"/>
                              <a:pt x="440466" y="24959"/>
                              <a:pt x="626039" y="0"/>
                            </a:cubicBezTo>
                            <a:cubicBezTo>
                              <a:pt x="811612" y="-24959"/>
                              <a:pt x="963329" y="19142"/>
                              <a:pt x="1193990" y="0"/>
                            </a:cubicBezTo>
                            <a:cubicBezTo>
                              <a:pt x="1424651" y="-19142"/>
                              <a:pt x="1441096" y="20112"/>
                              <a:pt x="1653760" y="0"/>
                            </a:cubicBezTo>
                            <a:cubicBezTo>
                              <a:pt x="1866424" y="-20112"/>
                              <a:pt x="1949629" y="28221"/>
                              <a:pt x="2113530" y="0"/>
                            </a:cubicBezTo>
                            <a:cubicBezTo>
                              <a:pt x="2277431" y="-28221"/>
                              <a:pt x="2496583" y="57992"/>
                              <a:pt x="2762617" y="0"/>
                            </a:cubicBezTo>
                            <a:cubicBezTo>
                              <a:pt x="2793391" y="-6510"/>
                              <a:pt x="2824909" y="29357"/>
                              <a:pt x="2820705" y="58088"/>
                            </a:cubicBezTo>
                            <a:cubicBezTo>
                              <a:pt x="2859601" y="247291"/>
                              <a:pt x="2808275" y="321890"/>
                              <a:pt x="2820705" y="488671"/>
                            </a:cubicBezTo>
                            <a:cubicBezTo>
                              <a:pt x="2833135" y="655452"/>
                              <a:pt x="2772301" y="803047"/>
                              <a:pt x="2820705" y="902369"/>
                            </a:cubicBezTo>
                            <a:cubicBezTo>
                              <a:pt x="2814579" y="933742"/>
                              <a:pt x="2797293" y="967836"/>
                              <a:pt x="2762617" y="960457"/>
                            </a:cubicBezTo>
                            <a:cubicBezTo>
                              <a:pt x="2571401" y="1004939"/>
                              <a:pt x="2446917" y="908955"/>
                              <a:pt x="2248756" y="960457"/>
                            </a:cubicBezTo>
                            <a:cubicBezTo>
                              <a:pt x="2050595" y="1011959"/>
                              <a:pt x="1811231" y="917769"/>
                              <a:pt x="1680805" y="960457"/>
                            </a:cubicBezTo>
                            <a:cubicBezTo>
                              <a:pt x="1550379" y="1003145"/>
                              <a:pt x="1346086" y="959227"/>
                              <a:pt x="1112854" y="960457"/>
                            </a:cubicBezTo>
                            <a:cubicBezTo>
                              <a:pt x="879622" y="961687"/>
                              <a:pt x="819840" y="919720"/>
                              <a:pt x="653084" y="960457"/>
                            </a:cubicBezTo>
                            <a:cubicBezTo>
                              <a:pt x="486328" y="1001194"/>
                              <a:pt x="326395" y="915651"/>
                              <a:pt x="58088" y="960457"/>
                            </a:cubicBezTo>
                            <a:cubicBezTo>
                              <a:pt x="35141" y="959670"/>
                              <a:pt x="6149" y="940493"/>
                              <a:pt x="0" y="902369"/>
                            </a:cubicBezTo>
                            <a:cubicBezTo>
                              <a:pt x="-3798" y="802875"/>
                              <a:pt x="20696" y="589293"/>
                              <a:pt x="0" y="497114"/>
                            </a:cubicBezTo>
                            <a:cubicBezTo>
                              <a:pt x="-20696" y="404936"/>
                              <a:pt x="12106" y="230781"/>
                              <a:pt x="0" y="58088"/>
                            </a:cubicBezTo>
                            <a:close/>
                          </a:path>
                          <a:path w="2820705" h="960457" stroke="0" extrusionOk="0">
                            <a:moveTo>
                              <a:pt x="0" y="58088"/>
                            </a:moveTo>
                            <a:cubicBezTo>
                              <a:pt x="-2003" y="20906"/>
                              <a:pt x="18770" y="2219"/>
                              <a:pt x="58088" y="0"/>
                            </a:cubicBezTo>
                            <a:cubicBezTo>
                              <a:pt x="348002" y="-9902"/>
                              <a:pt x="456552" y="43138"/>
                              <a:pt x="653084" y="0"/>
                            </a:cubicBezTo>
                            <a:cubicBezTo>
                              <a:pt x="849616" y="-43138"/>
                              <a:pt x="1097647" y="59383"/>
                              <a:pt x="1221035" y="0"/>
                            </a:cubicBezTo>
                            <a:cubicBezTo>
                              <a:pt x="1344423" y="-59383"/>
                              <a:pt x="1501270" y="9138"/>
                              <a:pt x="1761941" y="0"/>
                            </a:cubicBezTo>
                            <a:cubicBezTo>
                              <a:pt x="2022612" y="-9138"/>
                              <a:pt x="2084624" y="3997"/>
                              <a:pt x="2248756" y="0"/>
                            </a:cubicBezTo>
                            <a:cubicBezTo>
                              <a:pt x="2412889" y="-3997"/>
                              <a:pt x="2510785" y="31889"/>
                              <a:pt x="2762617" y="0"/>
                            </a:cubicBezTo>
                            <a:cubicBezTo>
                              <a:pt x="2795843" y="-1015"/>
                              <a:pt x="2819231" y="26811"/>
                              <a:pt x="2820705" y="58088"/>
                            </a:cubicBezTo>
                            <a:cubicBezTo>
                              <a:pt x="2820762" y="231091"/>
                              <a:pt x="2816744" y="274918"/>
                              <a:pt x="2820705" y="454900"/>
                            </a:cubicBezTo>
                            <a:cubicBezTo>
                              <a:pt x="2824666" y="634882"/>
                              <a:pt x="2803545" y="686302"/>
                              <a:pt x="2820705" y="902369"/>
                            </a:cubicBezTo>
                            <a:cubicBezTo>
                              <a:pt x="2819820" y="941618"/>
                              <a:pt x="2789350" y="954894"/>
                              <a:pt x="2762617" y="960457"/>
                            </a:cubicBezTo>
                            <a:cubicBezTo>
                              <a:pt x="2512501" y="1008821"/>
                              <a:pt x="2394446" y="952079"/>
                              <a:pt x="2194666" y="960457"/>
                            </a:cubicBezTo>
                            <a:cubicBezTo>
                              <a:pt x="1994886" y="968835"/>
                              <a:pt x="1747567" y="935652"/>
                              <a:pt x="1626715" y="960457"/>
                            </a:cubicBezTo>
                            <a:cubicBezTo>
                              <a:pt x="1505863" y="985262"/>
                              <a:pt x="1207787" y="924575"/>
                              <a:pt x="1031718" y="960457"/>
                            </a:cubicBezTo>
                            <a:cubicBezTo>
                              <a:pt x="855649" y="996339"/>
                              <a:pt x="521285" y="880417"/>
                              <a:pt x="58088" y="960457"/>
                            </a:cubicBezTo>
                            <a:cubicBezTo>
                              <a:pt x="25395" y="960822"/>
                              <a:pt x="2957" y="942059"/>
                              <a:pt x="0" y="902369"/>
                            </a:cubicBezTo>
                            <a:cubicBezTo>
                              <a:pt x="-16436" y="735466"/>
                              <a:pt x="12315" y="630828"/>
                              <a:pt x="0" y="497114"/>
                            </a:cubicBezTo>
                            <a:cubicBezTo>
                              <a:pt x="-12315" y="363401"/>
                              <a:pt x="9036" y="251182"/>
                              <a:pt x="0" y="58088"/>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715693385">
                      <a:custGeom>
                        <a:avLst/>
                        <a:gdLst>
                          <a:gd name="csX0" fmla="*/ 0 w 2820705"/>
                          <a:gd name="csY0" fmla="*/ 58088 h 960457"/>
                          <a:gd name="csX1" fmla="*/ 58088 w 2820705"/>
                          <a:gd name="csY1" fmla="*/ 0 h 960457"/>
                          <a:gd name="csX2" fmla="*/ 517858 w 2820705"/>
                          <a:gd name="csY2" fmla="*/ 0 h 960457"/>
                          <a:gd name="csX3" fmla="*/ 1112854 w 2820705"/>
                          <a:gd name="csY3" fmla="*/ 0 h 960457"/>
                          <a:gd name="csX4" fmla="*/ 1599670 w 2820705"/>
                          <a:gd name="csY4" fmla="*/ 0 h 960457"/>
                          <a:gd name="csX5" fmla="*/ 2059439 w 2820705"/>
                          <a:gd name="csY5" fmla="*/ 0 h 960457"/>
                          <a:gd name="csX6" fmla="*/ 2762617 w 2820705"/>
                          <a:gd name="csY6" fmla="*/ 0 h 960457"/>
                          <a:gd name="csX7" fmla="*/ 2820705 w 2820705"/>
                          <a:gd name="csY7" fmla="*/ 58088 h 960457"/>
                          <a:gd name="csX8" fmla="*/ 2820705 w 2820705"/>
                          <a:gd name="csY8" fmla="*/ 463343 h 960457"/>
                          <a:gd name="csX9" fmla="*/ 2820705 w 2820705"/>
                          <a:gd name="csY9" fmla="*/ 902369 h 960457"/>
                          <a:gd name="csX10" fmla="*/ 2762617 w 2820705"/>
                          <a:gd name="csY10" fmla="*/ 960457 h 960457"/>
                          <a:gd name="csX11" fmla="*/ 2167621 w 2820705"/>
                          <a:gd name="csY11" fmla="*/ 960457 h 960457"/>
                          <a:gd name="csX12" fmla="*/ 1707851 w 2820705"/>
                          <a:gd name="csY12" fmla="*/ 960457 h 960457"/>
                          <a:gd name="csX13" fmla="*/ 1248081 w 2820705"/>
                          <a:gd name="csY13" fmla="*/ 960457 h 960457"/>
                          <a:gd name="csX14" fmla="*/ 734220 w 2820705"/>
                          <a:gd name="csY14" fmla="*/ 960457 h 960457"/>
                          <a:gd name="csX15" fmla="*/ 58088 w 2820705"/>
                          <a:gd name="csY15" fmla="*/ 960457 h 960457"/>
                          <a:gd name="csX16" fmla="*/ 0 w 2820705"/>
                          <a:gd name="csY16" fmla="*/ 902369 h 960457"/>
                          <a:gd name="csX17" fmla="*/ 0 w 2820705"/>
                          <a:gd name="csY17" fmla="*/ 497114 h 960457"/>
                          <a:gd name="csX18" fmla="*/ 0 w 2820705"/>
                          <a:gd name="csY18" fmla="*/ 58088 h 96045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2820705" h="960457" fill="none" extrusionOk="0">
                            <a:moveTo>
                              <a:pt x="0" y="58088"/>
                            </a:moveTo>
                            <a:cubicBezTo>
                              <a:pt x="-667" y="27023"/>
                              <a:pt x="19173" y="-2522"/>
                              <a:pt x="58088" y="0"/>
                            </a:cubicBezTo>
                            <a:cubicBezTo>
                              <a:pt x="231033" y="-30427"/>
                              <a:pt x="366293" y="49402"/>
                              <a:pt x="517858" y="0"/>
                            </a:cubicBezTo>
                            <a:cubicBezTo>
                              <a:pt x="669423" y="-49402"/>
                              <a:pt x="833953" y="54564"/>
                              <a:pt x="1112854" y="0"/>
                            </a:cubicBezTo>
                            <a:cubicBezTo>
                              <a:pt x="1391755" y="-54564"/>
                              <a:pt x="1428091" y="5338"/>
                              <a:pt x="1599670" y="0"/>
                            </a:cubicBezTo>
                            <a:cubicBezTo>
                              <a:pt x="1771249" y="-5338"/>
                              <a:pt x="1960885" y="31776"/>
                              <a:pt x="2059439" y="0"/>
                            </a:cubicBezTo>
                            <a:cubicBezTo>
                              <a:pt x="2157993" y="-31776"/>
                              <a:pt x="2477736" y="78762"/>
                              <a:pt x="2762617" y="0"/>
                            </a:cubicBezTo>
                            <a:cubicBezTo>
                              <a:pt x="2796887" y="1477"/>
                              <a:pt x="2824075" y="27335"/>
                              <a:pt x="2820705" y="58088"/>
                            </a:cubicBezTo>
                            <a:cubicBezTo>
                              <a:pt x="2863552" y="150834"/>
                              <a:pt x="2787283" y="380883"/>
                              <a:pt x="2820705" y="463343"/>
                            </a:cubicBezTo>
                            <a:cubicBezTo>
                              <a:pt x="2854127" y="545803"/>
                              <a:pt x="2774518" y="695154"/>
                              <a:pt x="2820705" y="902369"/>
                            </a:cubicBezTo>
                            <a:cubicBezTo>
                              <a:pt x="2820291" y="938351"/>
                              <a:pt x="2797761" y="960705"/>
                              <a:pt x="2762617" y="960457"/>
                            </a:cubicBezTo>
                            <a:cubicBezTo>
                              <a:pt x="2632764" y="1023315"/>
                              <a:pt x="2379130" y="936369"/>
                              <a:pt x="2167621" y="960457"/>
                            </a:cubicBezTo>
                            <a:cubicBezTo>
                              <a:pt x="1956112" y="984545"/>
                              <a:pt x="1826702" y="928088"/>
                              <a:pt x="1707851" y="960457"/>
                            </a:cubicBezTo>
                            <a:cubicBezTo>
                              <a:pt x="1589000" y="992826"/>
                              <a:pt x="1358939" y="915198"/>
                              <a:pt x="1248081" y="960457"/>
                            </a:cubicBezTo>
                            <a:cubicBezTo>
                              <a:pt x="1137223" y="1005716"/>
                              <a:pt x="967025" y="941492"/>
                              <a:pt x="734220" y="960457"/>
                            </a:cubicBezTo>
                            <a:cubicBezTo>
                              <a:pt x="501415" y="979422"/>
                              <a:pt x="395497" y="887726"/>
                              <a:pt x="58088" y="960457"/>
                            </a:cubicBezTo>
                            <a:cubicBezTo>
                              <a:pt x="25564" y="961156"/>
                              <a:pt x="-288" y="936461"/>
                              <a:pt x="0" y="902369"/>
                            </a:cubicBezTo>
                            <a:cubicBezTo>
                              <a:pt x="-43666" y="714034"/>
                              <a:pt x="43577" y="636676"/>
                              <a:pt x="0" y="497114"/>
                            </a:cubicBezTo>
                            <a:cubicBezTo>
                              <a:pt x="-43577" y="357552"/>
                              <a:pt x="6089" y="167296"/>
                              <a:pt x="0" y="58088"/>
                            </a:cubicBezTo>
                            <a:close/>
                          </a:path>
                          <a:path w="2820705" h="960457" stroke="0" extrusionOk="0">
                            <a:moveTo>
                              <a:pt x="0" y="58088"/>
                            </a:moveTo>
                            <a:cubicBezTo>
                              <a:pt x="5665" y="29324"/>
                              <a:pt x="21302" y="2090"/>
                              <a:pt x="58088" y="0"/>
                            </a:cubicBezTo>
                            <a:cubicBezTo>
                              <a:pt x="258827" y="-60109"/>
                              <a:pt x="507139" y="30893"/>
                              <a:pt x="626039" y="0"/>
                            </a:cubicBezTo>
                            <a:cubicBezTo>
                              <a:pt x="744939" y="-30893"/>
                              <a:pt x="1000257" y="58683"/>
                              <a:pt x="1139900" y="0"/>
                            </a:cubicBezTo>
                            <a:cubicBezTo>
                              <a:pt x="1279543" y="-58683"/>
                              <a:pt x="1451180" y="38273"/>
                              <a:pt x="1707851" y="0"/>
                            </a:cubicBezTo>
                            <a:cubicBezTo>
                              <a:pt x="1964522" y="-38273"/>
                              <a:pt x="2109546" y="24605"/>
                              <a:pt x="2248756" y="0"/>
                            </a:cubicBezTo>
                            <a:cubicBezTo>
                              <a:pt x="2387967" y="-24605"/>
                              <a:pt x="2580030" y="54172"/>
                              <a:pt x="2762617" y="0"/>
                            </a:cubicBezTo>
                            <a:cubicBezTo>
                              <a:pt x="2796097" y="3306"/>
                              <a:pt x="2815183" y="32199"/>
                              <a:pt x="2820705" y="58088"/>
                            </a:cubicBezTo>
                            <a:cubicBezTo>
                              <a:pt x="2834466" y="155646"/>
                              <a:pt x="2818168" y="271965"/>
                              <a:pt x="2820705" y="480229"/>
                            </a:cubicBezTo>
                            <a:cubicBezTo>
                              <a:pt x="2823242" y="688493"/>
                              <a:pt x="2803565" y="804122"/>
                              <a:pt x="2820705" y="902369"/>
                            </a:cubicBezTo>
                            <a:cubicBezTo>
                              <a:pt x="2819269" y="934302"/>
                              <a:pt x="2804067" y="962369"/>
                              <a:pt x="2762617" y="960457"/>
                            </a:cubicBezTo>
                            <a:cubicBezTo>
                              <a:pt x="2479665" y="968950"/>
                              <a:pt x="2386943" y="951316"/>
                              <a:pt x="2167621" y="960457"/>
                            </a:cubicBezTo>
                            <a:cubicBezTo>
                              <a:pt x="1948299" y="969598"/>
                              <a:pt x="1786358" y="931541"/>
                              <a:pt x="1599670" y="960457"/>
                            </a:cubicBezTo>
                            <a:cubicBezTo>
                              <a:pt x="1412982" y="989373"/>
                              <a:pt x="1208794" y="919287"/>
                              <a:pt x="1031718" y="960457"/>
                            </a:cubicBezTo>
                            <a:cubicBezTo>
                              <a:pt x="854642" y="1001627"/>
                              <a:pt x="714592" y="929950"/>
                              <a:pt x="571949" y="960457"/>
                            </a:cubicBezTo>
                            <a:cubicBezTo>
                              <a:pt x="429306" y="990964"/>
                              <a:pt x="174259" y="950540"/>
                              <a:pt x="58088" y="960457"/>
                            </a:cubicBezTo>
                            <a:cubicBezTo>
                              <a:pt x="18033" y="958213"/>
                              <a:pt x="2291" y="935180"/>
                              <a:pt x="0" y="902369"/>
                            </a:cubicBezTo>
                            <a:cubicBezTo>
                              <a:pt x="-34553" y="819343"/>
                              <a:pt x="11572" y="666646"/>
                              <a:pt x="0" y="497114"/>
                            </a:cubicBezTo>
                            <a:cubicBezTo>
                              <a:pt x="-11572" y="327583"/>
                              <a:pt x="46373" y="205785"/>
                              <a:pt x="0" y="58088"/>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2834729060">
                      <a:custGeom>
                        <a:avLst/>
                        <a:gdLst>
                          <a:gd name="csX0" fmla="*/ 0 w 2820705"/>
                          <a:gd name="csY0" fmla="*/ 58088 h 960457"/>
                          <a:gd name="csX1" fmla="*/ 58088 w 2820705"/>
                          <a:gd name="csY1" fmla="*/ 0 h 960457"/>
                          <a:gd name="csX2" fmla="*/ 626039 w 2820705"/>
                          <a:gd name="csY2" fmla="*/ 0 h 960457"/>
                          <a:gd name="csX3" fmla="*/ 1139900 w 2820705"/>
                          <a:gd name="csY3" fmla="*/ 0 h 960457"/>
                          <a:gd name="csX4" fmla="*/ 1653760 w 2820705"/>
                          <a:gd name="csY4" fmla="*/ 0 h 960457"/>
                          <a:gd name="csX5" fmla="*/ 2221711 w 2820705"/>
                          <a:gd name="csY5" fmla="*/ 0 h 960457"/>
                          <a:gd name="csX6" fmla="*/ 2762617 w 2820705"/>
                          <a:gd name="csY6" fmla="*/ 0 h 960457"/>
                          <a:gd name="csX7" fmla="*/ 2820705 w 2820705"/>
                          <a:gd name="csY7" fmla="*/ 58088 h 960457"/>
                          <a:gd name="csX8" fmla="*/ 2820705 w 2820705"/>
                          <a:gd name="csY8" fmla="*/ 454900 h 960457"/>
                          <a:gd name="csX9" fmla="*/ 2820705 w 2820705"/>
                          <a:gd name="csY9" fmla="*/ 902369 h 960457"/>
                          <a:gd name="csX10" fmla="*/ 2762617 w 2820705"/>
                          <a:gd name="csY10" fmla="*/ 960457 h 960457"/>
                          <a:gd name="csX11" fmla="*/ 2248756 w 2820705"/>
                          <a:gd name="csY11" fmla="*/ 960457 h 960457"/>
                          <a:gd name="csX12" fmla="*/ 1788987 w 2820705"/>
                          <a:gd name="csY12" fmla="*/ 960457 h 960457"/>
                          <a:gd name="csX13" fmla="*/ 1248081 w 2820705"/>
                          <a:gd name="csY13" fmla="*/ 960457 h 960457"/>
                          <a:gd name="csX14" fmla="*/ 734220 w 2820705"/>
                          <a:gd name="csY14" fmla="*/ 960457 h 960457"/>
                          <a:gd name="csX15" fmla="*/ 58088 w 2820705"/>
                          <a:gd name="csY15" fmla="*/ 960457 h 960457"/>
                          <a:gd name="csX16" fmla="*/ 0 w 2820705"/>
                          <a:gd name="csY16" fmla="*/ 902369 h 960457"/>
                          <a:gd name="csX17" fmla="*/ 0 w 2820705"/>
                          <a:gd name="csY17" fmla="*/ 497114 h 960457"/>
                          <a:gd name="csX18" fmla="*/ 0 w 2820705"/>
                          <a:gd name="csY18" fmla="*/ 58088 h 96045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2820705" h="960457" fill="none" extrusionOk="0">
                            <a:moveTo>
                              <a:pt x="0" y="58088"/>
                            </a:moveTo>
                            <a:cubicBezTo>
                              <a:pt x="683" y="34943"/>
                              <a:pt x="30680" y="-2415"/>
                              <a:pt x="58088" y="0"/>
                            </a:cubicBezTo>
                            <a:cubicBezTo>
                              <a:pt x="278773" y="-27705"/>
                              <a:pt x="387316" y="10896"/>
                              <a:pt x="626039" y="0"/>
                            </a:cubicBezTo>
                            <a:cubicBezTo>
                              <a:pt x="864762" y="-10896"/>
                              <a:pt x="1021194" y="17409"/>
                              <a:pt x="1139900" y="0"/>
                            </a:cubicBezTo>
                            <a:cubicBezTo>
                              <a:pt x="1258606" y="-17409"/>
                              <a:pt x="1408961" y="6011"/>
                              <a:pt x="1653760" y="0"/>
                            </a:cubicBezTo>
                            <a:cubicBezTo>
                              <a:pt x="1898559" y="-6011"/>
                              <a:pt x="2040092" y="19687"/>
                              <a:pt x="2221711" y="0"/>
                            </a:cubicBezTo>
                            <a:cubicBezTo>
                              <a:pt x="2403330" y="-19687"/>
                              <a:pt x="2569213" y="3029"/>
                              <a:pt x="2762617" y="0"/>
                            </a:cubicBezTo>
                            <a:cubicBezTo>
                              <a:pt x="2790886" y="4715"/>
                              <a:pt x="2820544" y="26919"/>
                              <a:pt x="2820705" y="58088"/>
                            </a:cubicBezTo>
                            <a:cubicBezTo>
                              <a:pt x="2850914" y="178757"/>
                              <a:pt x="2783458" y="329819"/>
                              <a:pt x="2820705" y="454900"/>
                            </a:cubicBezTo>
                            <a:cubicBezTo>
                              <a:pt x="2857952" y="579981"/>
                              <a:pt x="2774469" y="752853"/>
                              <a:pt x="2820705" y="902369"/>
                            </a:cubicBezTo>
                            <a:cubicBezTo>
                              <a:pt x="2822785" y="931802"/>
                              <a:pt x="2787058" y="956999"/>
                              <a:pt x="2762617" y="960457"/>
                            </a:cubicBezTo>
                            <a:cubicBezTo>
                              <a:pt x="2658961" y="965115"/>
                              <a:pt x="2491194" y="916006"/>
                              <a:pt x="2248756" y="960457"/>
                            </a:cubicBezTo>
                            <a:cubicBezTo>
                              <a:pt x="2006318" y="1004908"/>
                              <a:pt x="1906584" y="954844"/>
                              <a:pt x="1788987" y="960457"/>
                            </a:cubicBezTo>
                            <a:cubicBezTo>
                              <a:pt x="1671390" y="966070"/>
                              <a:pt x="1478820" y="949665"/>
                              <a:pt x="1248081" y="960457"/>
                            </a:cubicBezTo>
                            <a:cubicBezTo>
                              <a:pt x="1017342" y="971249"/>
                              <a:pt x="885792" y="954439"/>
                              <a:pt x="734220" y="960457"/>
                            </a:cubicBezTo>
                            <a:cubicBezTo>
                              <a:pt x="582648" y="966475"/>
                              <a:pt x="278415" y="922935"/>
                              <a:pt x="58088" y="960457"/>
                            </a:cubicBezTo>
                            <a:cubicBezTo>
                              <a:pt x="22368" y="965567"/>
                              <a:pt x="4774" y="940432"/>
                              <a:pt x="0" y="902369"/>
                            </a:cubicBezTo>
                            <a:cubicBezTo>
                              <a:pt x="-21857" y="785677"/>
                              <a:pt x="45992" y="623244"/>
                              <a:pt x="0" y="497114"/>
                            </a:cubicBezTo>
                            <a:cubicBezTo>
                              <a:pt x="-45992" y="370985"/>
                              <a:pt x="40381" y="249257"/>
                              <a:pt x="0" y="58088"/>
                            </a:cubicBezTo>
                            <a:close/>
                          </a:path>
                          <a:path w="2820705" h="960457" stroke="0" extrusionOk="0">
                            <a:moveTo>
                              <a:pt x="0" y="58088"/>
                            </a:moveTo>
                            <a:cubicBezTo>
                              <a:pt x="8255" y="30440"/>
                              <a:pt x="32337" y="5297"/>
                              <a:pt x="58088" y="0"/>
                            </a:cubicBezTo>
                            <a:cubicBezTo>
                              <a:pt x="212158" y="-59625"/>
                              <a:pt x="413368" y="201"/>
                              <a:pt x="571949" y="0"/>
                            </a:cubicBezTo>
                            <a:cubicBezTo>
                              <a:pt x="730530" y="-201"/>
                              <a:pt x="881392" y="44922"/>
                              <a:pt x="1139900" y="0"/>
                            </a:cubicBezTo>
                            <a:cubicBezTo>
                              <a:pt x="1398408" y="-44922"/>
                              <a:pt x="1546167" y="27121"/>
                              <a:pt x="1707851" y="0"/>
                            </a:cubicBezTo>
                            <a:cubicBezTo>
                              <a:pt x="1869535" y="-27121"/>
                              <a:pt x="1974161" y="15581"/>
                              <a:pt x="2167621" y="0"/>
                            </a:cubicBezTo>
                            <a:cubicBezTo>
                              <a:pt x="2361081" y="-15581"/>
                              <a:pt x="2469694" y="8916"/>
                              <a:pt x="2762617" y="0"/>
                            </a:cubicBezTo>
                            <a:cubicBezTo>
                              <a:pt x="2798872" y="4290"/>
                              <a:pt x="2829266" y="26153"/>
                              <a:pt x="2820705" y="58088"/>
                            </a:cubicBezTo>
                            <a:cubicBezTo>
                              <a:pt x="2856549" y="236000"/>
                              <a:pt x="2791730" y="279121"/>
                              <a:pt x="2820705" y="488671"/>
                            </a:cubicBezTo>
                            <a:cubicBezTo>
                              <a:pt x="2849680" y="698221"/>
                              <a:pt x="2796330" y="741237"/>
                              <a:pt x="2820705" y="902369"/>
                            </a:cubicBezTo>
                            <a:cubicBezTo>
                              <a:pt x="2816311" y="941107"/>
                              <a:pt x="2793190" y="960370"/>
                              <a:pt x="2762617" y="960457"/>
                            </a:cubicBezTo>
                            <a:cubicBezTo>
                              <a:pt x="2542573" y="974184"/>
                              <a:pt x="2446051" y="917904"/>
                              <a:pt x="2275802" y="960457"/>
                            </a:cubicBezTo>
                            <a:cubicBezTo>
                              <a:pt x="2105554" y="1003010"/>
                              <a:pt x="1964521" y="958305"/>
                              <a:pt x="1707851" y="960457"/>
                            </a:cubicBezTo>
                            <a:cubicBezTo>
                              <a:pt x="1451181" y="962609"/>
                              <a:pt x="1278706" y="904106"/>
                              <a:pt x="1166945" y="960457"/>
                            </a:cubicBezTo>
                            <a:cubicBezTo>
                              <a:pt x="1055184" y="1016808"/>
                              <a:pt x="865874" y="912076"/>
                              <a:pt x="707175" y="960457"/>
                            </a:cubicBezTo>
                            <a:cubicBezTo>
                              <a:pt x="548476" y="1008838"/>
                              <a:pt x="199949" y="928602"/>
                              <a:pt x="58088" y="960457"/>
                            </a:cubicBezTo>
                            <a:cubicBezTo>
                              <a:pt x="26838" y="959968"/>
                              <a:pt x="-406" y="935300"/>
                              <a:pt x="0" y="902369"/>
                            </a:cubicBezTo>
                            <a:cubicBezTo>
                              <a:pt x="-46008" y="816783"/>
                              <a:pt x="36712" y="675447"/>
                              <a:pt x="0" y="505557"/>
                            </a:cubicBezTo>
                            <a:cubicBezTo>
                              <a:pt x="-36712" y="335667"/>
                              <a:pt x="14192" y="172422"/>
                              <a:pt x="0" y="58088"/>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3431764392">
                      <a:custGeom>
                        <a:avLst/>
                        <a:gdLst>
                          <a:gd name="csX0" fmla="*/ 0 w 2820705"/>
                          <a:gd name="csY0" fmla="*/ 58088 h 960457"/>
                          <a:gd name="csX1" fmla="*/ 58088 w 2820705"/>
                          <a:gd name="csY1" fmla="*/ 0 h 960457"/>
                          <a:gd name="csX2" fmla="*/ 626039 w 2820705"/>
                          <a:gd name="csY2" fmla="*/ 0 h 960457"/>
                          <a:gd name="csX3" fmla="*/ 1112854 w 2820705"/>
                          <a:gd name="csY3" fmla="*/ 0 h 960457"/>
                          <a:gd name="csX4" fmla="*/ 1572624 w 2820705"/>
                          <a:gd name="csY4" fmla="*/ 0 h 960457"/>
                          <a:gd name="csX5" fmla="*/ 2167621 w 2820705"/>
                          <a:gd name="csY5" fmla="*/ 0 h 960457"/>
                          <a:gd name="csX6" fmla="*/ 2762617 w 2820705"/>
                          <a:gd name="csY6" fmla="*/ 0 h 960457"/>
                          <a:gd name="csX7" fmla="*/ 2820705 w 2820705"/>
                          <a:gd name="csY7" fmla="*/ 58088 h 960457"/>
                          <a:gd name="csX8" fmla="*/ 2820705 w 2820705"/>
                          <a:gd name="csY8" fmla="*/ 488671 h 960457"/>
                          <a:gd name="csX9" fmla="*/ 2820705 w 2820705"/>
                          <a:gd name="csY9" fmla="*/ 902369 h 960457"/>
                          <a:gd name="csX10" fmla="*/ 2762617 w 2820705"/>
                          <a:gd name="csY10" fmla="*/ 960457 h 960457"/>
                          <a:gd name="csX11" fmla="*/ 2302847 w 2820705"/>
                          <a:gd name="csY11" fmla="*/ 960457 h 960457"/>
                          <a:gd name="csX12" fmla="*/ 1788987 w 2820705"/>
                          <a:gd name="csY12" fmla="*/ 960457 h 960457"/>
                          <a:gd name="csX13" fmla="*/ 1329217 w 2820705"/>
                          <a:gd name="csY13" fmla="*/ 960457 h 960457"/>
                          <a:gd name="csX14" fmla="*/ 761266 w 2820705"/>
                          <a:gd name="csY14" fmla="*/ 960457 h 960457"/>
                          <a:gd name="csX15" fmla="*/ 58088 w 2820705"/>
                          <a:gd name="csY15" fmla="*/ 960457 h 960457"/>
                          <a:gd name="csX16" fmla="*/ 0 w 2820705"/>
                          <a:gd name="csY16" fmla="*/ 902369 h 960457"/>
                          <a:gd name="csX17" fmla="*/ 0 w 2820705"/>
                          <a:gd name="csY17" fmla="*/ 480229 h 960457"/>
                          <a:gd name="csX18" fmla="*/ 0 w 2820705"/>
                          <a:gd name="csY18" fmla="*/ 58088 h 96045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2820705" h="960457" fill="none" extrusionOk="0">
                            <a:moveTo>
                              <a:pt x="0" y="58088"/>
                            </a:moveTo>
                            <a:cubicBezTo>
                              <a:pt x="9546" y="25762"/>
                              <a:pt x="22565" y="-2589"/>
                              <a:pt x="58088" y="0"/>
                            </a:cubicBezTo>
                            <a:cubicBezTo>
                              <a:pt x="188870" y="-18334"/>
                              <a:pt x="355820" y="66752"/>
                              <a:pt x="626039" y="0"/>
                            </a:cubicBezTo>
                            <a:cubicBezTo>
                              <a:pt x="896258" y="-66752"/>
                              <a:pt x="948304" y="18699"/>
                              <a:pt x="1112854" y="0"/>
                            </a:cubicBezTo>
                            <a:cubicBezTo>
                              <a:pt x="1277404" y="-18699"/>
                              <a:pt x="1428077" y="24225"/>
                              <a:pt x="1572624" y="0"/>
                            </a:cubicBezTo>
                            <a:cubicBezTo>
                              <a:pt x="1717171" y="-24225"/>
                              <a:pt x="1940587" y="43557"/>
                              <a:pt x="2167621" y="0"/>
                            </a:cubicBezTo>
                            <a:cubicBezTo>
                              <a:pt x="2394655" y="-43557"/>
                              <a:pt x="2541405" y="43907"/>
                              <a:pt x="2762617" y="0"/>
                            </a:cubicBezTo>
                            <a:cubicBezTo>
                              <a:pt x="2785790" y="42"/>
                              <a:pt x="2816571" y="25757"/>
                              <a:pt x="2820705" y="58088"/>
                            </a:cubicBezTo>
                            <a:cubicBezTo>
                              <a:pt x="2871666" y="191721"/>
                              <a:pt x="2785716" y="344620"/>
                              <a:pt x="2820705" y="488671"/>
                            </a:cubicBezTo>
                            <a:cubicBezTo>
                              <a:pt x="2855694" y="632722"/>
                              <a:pt x="2820206" y="724199"/>
                              <a:pt x="2820705" y="902369"/>
                            </a:cubicBezTo>
                            <a:cubicBezTo>
                              <a:pt x="2817683" y="935486"/>
                              <a:pt x="2788307" y="965068"/>
                              <a:pt x="2762617" y="960457"/>
                            </a:cubicBezTo>
                            <a:cubicBezTo>
                              <a:pt x="2608260" y="976341"/>
                              <a:pt x="2484141" y="906721"/>
                              <a:pt x="2302847" y="960457"/>
                            </a:cubicBezTo>
                            <a:cubicBezTo>
                              <a:pt x="2121553" y="1014193"/>
                              <a:pt x="1972192" y="909266"/>
                              <a:pt x="1788987" y="960457"/>
                            </a:cubicBezTo>
                            <a:cubicBezTo>
                              <a:pt x="1605782" y="1011648"/>
                              <a:pt x="1533700" y="905776"/>
                              <a:pt x="1329217" y="960457"/>
                            </a:cubicBezTo>
                            <a:cubicBezTo>
                              <a:pt x="1124734" y="1015138"/>
                              <a:pt x="900480" y="933925"/>
                              <a:pt x="761266" y="960457"/>
                            </a:cubicBezTo>
                            <a:cubicBezTo>
                              <a:pt x="622052" y="986989"/>
                              <a:pt x="203900" y="929204"/>
                              <a:pt x="58088" y="960457"/>
                            </a:cubicBezTo>
                            <a:cubicBezTo>
                              <a:pt x="19628" y="958434"/>
                              <a:pt x="6436" y="933419"/>
                              <a:pt x="0" y="902369"/>
                            </a:cubicBezTo>
                            <a:cubicBezTo>
                              <a:pt x="-14343" y="780266"/>
                              <a:pt x="37173" y="585837"/>
                              <a:pt x="0" y="480229"/>
                            </a:cubicBezTo>
                            <a:cubicBezTo>
                              <a:pt x="-37173" y="374621"/>
                              <a:pt x="3581" y="250035"/>
                              <a:pt x="0" y="58088"/>
                            </a:cubicBezTo>
                            <a:close/>
                          </a:path>
                          <a:path w="2820705" h="960457" stroke="0" extrusionOk="0">
                            <a:moveTo>
                              <a:pt x="0" y="58088"/>
                            </a:moveTo>
                            <a:cubicBezTo>
                              <a:pt x="42" y="24213"/>
                              <a:pt x="31046" y="-4312"/>
                              <a:pt x="58088" y="0"/>
                            </a:cubicBezTo>
                            <a:cubicBezTo>
                              <a:pt x="307156" y="-13474"/>
                              <a:pt x="387880" y="32240"/>
                              <a:pt x="598994" y="0"/>
                            </a:cubicBezTo>
                            <a:cubicBezTo>
                              <a:pt x="810108" y="-32240"/>
                              <a:pt x="986912" y="31283"/>
                              <a:pt x="1139900" y="0"/>
                            </a:cubicBezTo>
                            <a:cubicBezTo>
                              <a:pt x="1292888" y="-31283"/>
                              <a:pt x="1384878" y="1537"/>
                              <a:pt x="1626715" y="0"/>
                            </a:cubicBezTo>
                            <a:cubicBezTo>
                              <a:pt x="1868552" y="-1537"/>
                              <a:pt x="1947529" y="20893"/>
                              <a:pt x="2086485" y="0"/>
                            </a:cubicBezTo>
                            <a:cubicBezTo>
                              <a:pt x="2225441" y="-20893"/>
                              <a:pt x="2532949" y="10316"/>
                              <a:pt x="2762617" y="0"/>
                            </a:cubicBezTo>
                            <a:cubicBezTo>
                              <a:pt x="2799570" y="-8178"/>
                              <a:pt x="2819248" y="26343"/>
                              <a:pt x="2820705" y="58088"/>
                            </a:cubicBezTo>
                            <a:cubicBezTo>
                              <a:pt x="2832098" y="207914"/>
                              <a:pt x="2790860" y="385492"/>
                              <a:pt x="2820705" y="480229"/>
                            </a:cubicBezTo>
                            <a:cubicBezTo>
                              <a:pt x="2850550" y="574966"/>
                              <a:pt x="2815865" y="797341"/>
                              <a:pt x="2820705" y="902369"/>
                            </a:cubicBezTo>
                            <a:cubicBezTo>
                              <a:pt x="2813913" y="929916"/>
                              <a:pt x="2794658" y="961810"/>
                              <a:pt x="2762617" y="960457"/>
                            </a:cubicBezTo>
                            <a:cubicBezTo>
                              <a:pt x="2598283" y="1007233"/>
                              <a:pt x="2341590" y="922344"/>
                              <a:pt x="2221711" y="960457"/>
                            </a:cubicBezTo>
                            <a:cubicBezTo>
                              <a:pt x="2101832" y="998570"/>
                              <a:pt x="1917012" y="920534"/>
                              <a:pt x="1680805" y="960457"/>
                            </a:cubicBezTo>
                            <a:cubicBezTo>
                              <a:pt x="1444598" y="1000380"/>
                              <a:pt x="1393232" y="934113"/>
                              <a:pt x="1139900" y="960457"/>
                            </a:cubicBezTo>
                            <a:cubicBezTo>
                              <a:pt x="886568" y="986801"/>
                              <a:pt x="828473" y="929171"/>
                              <a:pt x="653084" y="960457"/>
                            </a:cubicBezTo>
                            <a:cubicBezTo>
                              <a:pt x="477695" y="991743"/>
                              <a:pt x="184118" y="951742"/>
                              <a:pt x="58088" y="960457"/>
                            </a:cubicBezTo>
                            <a:cubicBezTo>
                              <a:pt x="28302" y="961425"/>
                              <a:pt x="1536" y="937176"/>
                              <a:pt x="0" y="902369"/>
                            </a:cubicBezTo>
                            <a:cubicBezTo>
                              <a:pt x="-31624" y="768285"/>
                              <a:pt x="4709" y="693047"/>
                              <a:pt x="0" y="505557"/>
                            </a:cubicBezTo>
                            <a:cubicBezTo>
                              <a:pt x="-4709" y="318067"/>
                              <a:pt x="51957" y="166120"/>
                              <a:pt x="0" y="58088"/>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a:grpFill/>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535937827">
                      <a:custGeom>
                        <a:avLst/>
                        <a:gdLst>
                          <a:gd name="csX0" fmla="*/ 0 w 4229010"/>
                          <a:gd name="csY0" fmla="*/ 86055 h 2605367"/>
                          <a:gd name="csX1" fmla="*/ 86055 w 4229010"/>
                          <a:gd name="csY1" fmla="*/ 0 h 2605367"/>
                          <a:gd name="csX2" fmla="*/ 625043 w 4229010"/>
                          <a:gd name="csY2" fmla="*/ 0 h 2605367"/>
                          <a:gd name="csX3" fmla="*/ 1204600 w 4229010"/>
                          <a:gd name="csY3" fmla="*/ 0 h 2605367"/>
                          <a:gd name="csX4" fmla="*/ 1743588 w 4229010"/>
                          <a:gd name="csY4" fmla="*/ 0 h 2605367"/>
                          <a:gd name="csX5" fmla="*/ 2242008 w 4229010"/>
                          <a:gd name="csY5" fmla="*/ 0 h 2605367"/>
                          <a:gd name="csX6" fmla="*/ 2862134 w 4229010"/>
                          <a:gd name="csY6" fmla="*/ 0 h 2605367"/>
                          <a:gd name="csX7" fmla="*/ 3401122 w 4229010"/>
                          <a:gd name="csY7" fmla="*/ 0 h 2605367"/>
                          <a:gd name="csX8" fmla="*/ 4142955 w 4229010"/>
                          <a:gd name="csY8" fmla="*/ 0 h 2605367"/>
                          <a:gd name="csX9" fmla="*/ 4229010 w 4229010"/>
                          <a:gd name="csY9" fmla="*/ 86055 h 2605367"/>
                          <a:gd name="csX10" fmla="*/ 4229010 w 4229010"/>
                          <a:gd name="csY10" fmla="*/ 548374 h 2605367"/>
                          <a:gd name="csX11" fmla="*/ 4229010 w 4229010"/>
                          <a:gd name="csY11" fmla="*/ 962028 h 2605367"/>
                          <a:gd name="csX12" fmla="*/ 4229010 w 4229010"/>
                          <a:gd name="csY12" fmla="*/ 1473011 h 2605367"/>
                          <a:gd name="csX13" fmla="*/ 4229010 w 4229010"/>
                          <a:gd name="csY13" fmla="*/ 2008328 h 2605367"/>
                          <a:gd name="csX14" fmla="*/ 4229010 w 4229010"/>
                          <a:gd name="csY14" fmla="*/ 2519312 h 2605367"/>
                          <a:gd name="csX15" fmla="*/ 4142955 w 4229010"/>
                          <a:gd name="csY15" fmla="*/ 2605367 h 2605367"/>
                          <a:gd name="csX16" fmla="*/ 3644536 w 4229010"/>
                          <a:gd name="csY16" fmla="*/ 2605367 h 2605367"/>
                          <a:gd name="csX17" fmla="*/ 3146117 w 4229010"/>
                          <a:gd name="csY17" fmla="*/ 2605367 h 2605367"/>
                          <a:gd name="csX18" fmla="*/ 2688267 w 4229010"/>
                          <a:gd name="csY18" fmla="*/ 2605367 h 2605367"/>
                          <a:gd name="csX19" fmla="*/ 2230416 w 4229010"/>
                          <a:gd name="csY19" fmla="*/ 2605367 h 2605367"/>
                          <a:gd name="csX20" fmla="*/ 1772566 w 4229010"/>
                          <a:gd name="csY20" fmla="*/ 2605367 h 2605367"/>
                          <a:gd name="csX21" fmla="*/ 1111871 w 4229010"/>
                          <a:gd name="csY21" fmla="*/ 2605367 h 2605367"/>
                          <a:gd name="csX22" fmla="*/ 86055 w 4229010"/>
                          <a:gd name="csY22" fmla="*/ 2605367 h 2605367"/>
                          <a:gd name="csX23" fmla="*/ 0 w 4229010"/>
                          <a:gd name="csY23" fmla="*/ 2519312 h 2605367"/>
                          <a:gd name="csX24" fmla="*/ 0 w 4229010"/>
                          <a:gd name="csY24" fmla="*/ 2008328 h 2605367"/>
                          <a:gd name="csX25" fmla="*/ 0 w 4229010"/>
                          <a:gd name="csY25" fmla="*/ 1594674 h 2605367"/>
                          <a:gd name="csX26" fmla="*/ 0 w 4229010"/>
                          <a:gd name="csY26" fmla="*/ 1156688 h 2605367"/>
                          <a:gd name="csX27" fmla="*/ 0 w 4229010"/>
                          <a:gd name="csY27" fmla="*/ 743034 h 2605367"/>
                          <a:gd name="csX28" fmla="*/ 0 w 4229010"/>
                          <a:gd name="csY28" fmla="*/ 86055 h 260536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Lst>
                        <a:rect l="l" t="t" r="r" b="b"/>
                        <a:pathLst>
                          <a:path w="4229010" h="2605367" fill="none" extrusionOk="0">
                            <a:moveTo>
                              <a:pt x="0" y="86055"/>
                            </a:moveTo>
                            <a:cubicBezTo>
                              <a:pt x="-1599" y="30828"/>
                              <a:pt x="35693" y="-1122"/>
                              <a:pt x="86055" y="0"/>
                            </a:cubicBezTo>
                            <a:cubicBezTo>
                              <a:pt x="299370" y="-15674"/>
                              <a:pt x="435092" y="44274"/>
                              <a:pt x="625043" y="0"/>
                            </a:cubicBezTo>
                            <a:cubicBezTo>
                              <a:pt x="814994" y="-44274"/>
                              <a:pt x="928485" y="68026"/>
                              <a:pt x="1204600" y="0"/>
                            </a:cubicBezTo>
                            <a:cubicBezTo>
                              <a:pt x="1480715" y="-68026"/>
                              <a:pt x="1546176" y="2463"/>
                              <a:pt x="1743588" y="0"/>
                            </a:cubicBezTo>
                            <a:cubicBezTo>
                              <a:pt x="1941000" y="-2463"/>
                              <a:pt x="2092797" y="18990"/>
                              <a:pt x="2242008" y="0"/>
                            </a:cubicBezTo>
                            <a:cubicBezTo>
                              <a:pt x="2391219" y="-18990"/>
                              <a:pt x="2554022" y="33686"/>
                              <a:pt x="2862134" y="0"/>
                            </a:cubicBezTo>
                            <a:cubicBezTo>
                              <a:pt x="3170246" y="-33686"/>
                              <a:pt x="3205471" y="32019"/>
                              <a:pt x="3401122" y="0"/>
                            </a:cubicBezTo>
                            <a:cubicBezTo>
                              <a:pt x="3596773" y="-32019"/>
                              <a:pt x="3799577" y="25862"/>
                              <a:pt x="4142955" y="0"/>
                            </a:cubicBezTo>
                            <a:cubicBezTo>
                              <a:pt x="4197537" y="-6618"/>
                              <a:pt x="4232094" y="43055"/>
                              <a:pt x="4229010" y="86055"/>
                            </a:cubicBezTo>
                            <a:cubicBezTo>
                              <a:pt x="4270968" y="268393"/>
                              <a:pt x="4174175" y="328815"/>
                              <a:pt x="4229010" y="548374"/>
                            </a:cubicBezTo>
                            <a:cubicBezTo>
                              <a:pt x="4283845" y="767933"/>
                              <a:pt x="4181622" y="854546"/>
                              <a:pt x="4229010" y="962028"/>
                            </a:cubicBezTo>
                            <a:cubicBezTo>
                              <a:pt x="4276398" y="1069510"/>
                              <a:pt x="4180341" y="1359687"/>
                              <a:pt x="4229010" y="1473011"/>
                            </a:cubicBezTo>
                            <a:cubicBezTo>
                              <a:pt x="4277679" y="1586335"/>
                              <a:pt x="4193230" y="1877525"/>
                              <a:pt x="4229010" y="2008328"/>
                            </a:cubicBezTo>
                            <a:cubicBezTo>
                              <a:pt x="4264790" y="2139131"/>
                              <a:pt x="4208783" y="2327187"/>
                              <a:pt x="4229010" y="2519312"/>
                            </a:cubicBezTo>
                            <a:cubicBezTo>
                              <a:pt x="4236784" y="2576755"/>
                              <a:pt x="4189480" y="2604953"/>
                              <a:pt x="4142955" y="2605367"/>
                            </a:cubicBezTo>
                            <a:cubicBezTo>
                              <a:pt x="3921765" y="2646208"/>
                              <a:pt x="3793976" y="2579260"/>
                              <a:pt x="3644536" y="2605367"/>
                            </a:cubicBezTo>
                            <a:cubicBezTo>
                              <a:pt x="3495096" y="2631474"/>
                              <a:pt x="3325795" y="2558135"/>
                              <a:pt x="3146117" y="2605367"/>
                            </a:cubicBezTo>
                            <a:cubicBezTo>
                              <a:pt x="2966439" y="2652599"/>
                              <a:pt x="2845440" y="2605295"/>
                              <a:pt x="2688267" y="2605367"/>
                            </a:cubicBezTo>
                            <a:cubicBezTo>
                              <a:pt x="2531094" y="2605439"/>
                              <a:pt x="2420653" y="2601548"/>
                              <a:pt x="2230416" y="2605367"/>
                            </a:cubicBezTo>
                            <a:cubicBezTo>
                              <a:pt x="2040179" y="2609186"/>
                              <a:pt x="1996213" y="2591729"/>
                              <a:pt x="1772566" y="2605367"/>
                            </a:cubicBezTo>
                            <a:cubicBezTo>
                              <a:pt x="1548919" y="2619005"/>
                              <a:pt x="1401794" y="2549700"/>
                              <a:pt x="1111871" y="2605367"/>
                            </a:cubicBezTo>
                            <a:cubicBezTo>
                              <a:pt x="821949" y="2661034"/>
                              <a:pt x="318271" y="2543685"/>
                              <a:pt x="86055" y="2605367"/>
                            </a:cubicBezTo>
                            <a:cubicBezTo>
                              <a:pt x="34384" y="2602383"/>
                              <a:pt x="-5045" y="2564191"/>
                              <a:pt x="0" y="2519312"/>
                            </a:cubicBezTo>
                            <a:cubicBezTo>
                              <a:pt x="-57328" y="2404664"/>
                              <a:pt x="41022" y="2153606"/>
                              <a:pt x="0" y="2008328"/>
                            </a:cubicBezTo>
                            <a:cubicBezTo>
                              <a:pt x="-41022" y="1863050"/>
                              <a:pt x="42365" y="1792432"/>
                              <a:pt x="0" y="1594674"/>
                            </a:cubicBezTo>
                            <a:cubicBezTo>
                              <a:pt x="-42365" y="1396916"/>
                              <a:pt x="23027" y="1309768"/>
                              <a:pt x="0" y="1156688"/>
                            </a:cubicBezTo>
                            <a:cubicBezTo>
                              <a:pt x="-23027" y="1003608"/>
                              <a:pt x="15335" y="880824"/>
                              <a:pt x="0" y="743034"/>
                            </a:cubicBezTo>
                            <a:cubicBezTo>
                              <a:pt x="-15335" y="605244"/>
                              <a:pt x="22765" y="306960"/>
                              <a:pt x="0" y="86055"/>
                            </a:cubicBezTo>
                            <a:close/>
                          </a:path>
                          <a:path w="4229010" h="2605367" stroke="0" extrusionOk="0">
                            <a:moveTo>
                              <a:pt x="0" y="86055"/>
                            </a:moveTo>
                            <a:cubicBezTo>
                              <a:pt x="8143" y="43726"/>
                              <a:pt x="28857" y="3090"/>
                              <a:pt x="86055" y="0"/>
                            </a:cubicBezTo>
                            <a:cubicBezTo>
                              <a:pt x="295238" y="-51725"/>
                              <a:pt x="400202" y="34979"/>
                              <a:pt x="543905" y="0"/>
                            </a:cubicBezTo>
                            <a:cubicBezTo>
                              <a:pt x="687608" y="-34979"/>
                              <a:pt x="1047241" y="55925"/>
                              <a:pt x="1204600" y="0"/>
                            </a:cubicBezTo>
                            <a:cubicBezTo>
                              <a:pt x="1361959" y="-55925"/>
                              <a:pt x="1441786" y="22310"/>
                              <a:pt x="1662450" y="0"/>
                            </a:cubicBezTo>
                            <a:cubicBezTo>
                              <a:pt x="1883114" y="-22310"/>
                              <a:pt x="2112802" y="41647"/>
                              <a:pt x="2282577" y="0"/>
                            </a:cubicBezTo>
                            <a:cubicBezTo>
                              <a:pt x="2452352" y="-41647"/>
                              <a:pt x="2625969" y="43026"/>
                              <a:pt x="2821565" y="0"/>
                            </a:cubicBezTo>
                            <a:cubicBezTo>
                              <a:pt x="3017161" y="-43026"/>
                              <a:pt x="3218824" y="10510"/>
                              <a:pt x="3319984" y="0"/>
                            </a:cubicBezTo>
                            <a:cubicBezTo>
                              <a:pt x="3421144" y="-10510"/>
                              <a:pt x="3778317" y="64156"/>
                              <a:pt x="4142955" y="0"/>
                            </a:cubicBezTo>
                            <a:cubicBezTo>
                              <a:pt x="4191178" y="-2212"/>
                              <a:pt x="4234685" y="47077"/>
                              <a:pt x="4229010" y="86055"/>
                            </a:cubicBezTo>
                            <a:cubicBezTo>
                              <a:pt x="4243466" y="188929"/>
                              <a:pt x="4200720" y="333781"/>
                              <a:pt x="4229010" y="548374"/>
                            </a:cubicBezTo>
                            <a:cubicBezTo>
                              <a:pt x="4257300" y="762967"/>
                              <a:pt x="4208924" y="869933"/>
                              <a:pt x="4229010" y="1010693"/>
                            </a:cubicBezTo>
                            <a:cubicBezTo>
                              <a:pt x="4249096" y="1151453"/>
                              <a:pt x="4173834" y="1281292"/>
                              <a:pt x="4229010" y="1546009"/>
                            </a:cubicBezTo>
                            <a:cubicBezTo>
                              <a:pt x="4284186" y="1810726"/>
                              <a:pt x="4228388" y="1820420"/>
                              <a:pt x="4229010" y="2081326"/>
                            </a:cubicBezTo>
                            <a:cubicBezTo>
                              <a:pt x="4229632" y="2342232"/>
                              <a:pt x="4178245" y="2384021"/>
                              <a:pt x="4229010" y="2519312"/>
                            </a:cubicBezTo>
                            <a:cubicBezTo>
                              <a:pt x="4232823" y="2579035"/>
                              <a:pt x="4193045" y="2609834"/>
                              <a:pt x="4142955" y="2605367"/>
                            </a:cubicBezTo>
                            <a:cubicBezTo>
                              <a:pt x="3839234" y="2624648"/>
                              <a:pt x="3636369" y="2551096"/>
                              <a:pt x="3482260" y="2605367"/>
                            </a:cubicBezTo>
                            <a:cubicBezTo>
                              <a:pt x="3328151" y="2659638"/>
                              <a:pt x="3158943" y="2552753"/>
                              <a:pt x="2983841" y="2605367"/>
                            </a:cubicBezTo>
                            <a:cubicBezTo>
                              <a:pt x="2808739" y="2657981"/>
                              <a:pt x="2715206" y="2590938"/>
                              <a:pt x="2485422" y="2605367"/>
                            </a:cubicBezTo>
                            <a:cubicBezTo>
                              <a:pt x="2255638" y="2619796"/>
                              <a:pt x="2110297" y="2572574"/>
                              <a:pt x="1946433" y="2605367"/>
                            </a:cubicBezTo>
                            <a:cubicBezTo>
                              <a:pt x="1782569" y="2638160"/>
                              <a:pt x="1622029" y="2574425"/>
                              <a:pt x="1448014" y="2605367"/>
                            </a:cubicBezTo>
                            <a:cubicBezTo>
                              <a:pt x="1273999" y="2636309"/>
                              <a:pt x="1150408" y="2547660"/>
                              <a:pt x="909026" y="2605367"/>
                            </a:cubicBezTo>
                            <a:cubicBezTo>
                              <a:pt x="667644" y="2663074"/>
                              <a:pt x="274972" y="2589826"/>
                              <a:pt x="86055" y="2605367"/>
                            </a:cubicBezTo>
                            <a:cubicBezTo>
                              <a:pt x="43878" y="2601976"/>
                              <a:pt x="-4625" y="2566386"/>
                              <a:pt x="0" y="2519312"/>
                            </a:cubicBezTo>
                            <a:cubicBezTo>
                              <a:pt x="-52982" y="2367851"/>
                              <a:pt x="40346" y="2226407"/>
                              <a:pt x="0" y="2056993"/>
                            </a:cubicBezTo>
                            <a:cubicBezTo>
                              <a:pt x="-40346" y="1887579"/>
                              <a:pt x="13256" y="1663078"/>
                              <a:pt x="0" y="1546009"/>
                            </a:cubicBezTo>
                            <a:cubicBezTo>
                              <a:pt x="-13256" y="1428940"/>
                              <a:pt x="47246" y="1147366"/>
                              <a:pt x="0" y="1035025"/>
                            </a:cubicBezTo>
                            <a:cubicBezTo>
                              <a:pt x="-47246" y="922684"/>
                              <a:pt x="44667" y="685015"/>
                              <a:pt x="0" y="548374"/>
                            </a:cubicBezTo>
                            <a:cubicBezTo>
                              <a:pt x="-44667" y="411733"/>
                              <a:pt x="40712" y="257644"/>
                              <a:pt x="0" y="86055"/>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grpFill/>
              <a:ln w="12700" cap="flat" cmpd="sng">
                <a:solidFill>
                  <a:srgbClr val="7F7F7F"/>
                </a:solidFill>
                <a:prstDash val="dash"/>
                <a:miter lim="800000"/>
                <a:headEnd type="diamond"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grpFill/>
            <a:ln w="12700" cap="flat" cmpd="sng">
              <a:solidFill>
                <a:srgbClr val="7F7F7F"/>
              </a:solidFill>
              <a:prstDash val="dash"/>
              <a:miter lim="800000"/>
              <a:headEnd type="diamond"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423061049">
                    <a:custGeom>
                      <a:avLst/>
                      <a:gdLst>
                        <a:gd name="csX0" fmla="*/ 0 w 4790524"/>
                        <a:gd name="csY0" fmla="*/ 88068 h 2666301"/>
                        <a:gd name="csX1" fmla="*/ 88068 w 4790524"/>
                        <a:gd name="csY1" fmla="*/ 0 h 2666301"/>
                        <a:gd name="csX2" fmla="*/ 711010 w 4790524"/>
                        <a:gd name="csY2" fmla="*/ 0 h 2666301"/>
                        <a:gd name="csX3" fmla="*/ 1149377 w 4790524"/>
                        <a:gd name="csY3" fmla="*/ 0 h 2666301"/>
                        <a:gd name="csX4" fmla="*/ 1680032 w 4790524"/>
                        <a:gd name="csY4" fmla="*/ 0 h 2666301"/>
                        <a:gd name="csX5" fmla="*/ 2210686 w 4790524"/>
                        <a:gd name="csY5" fmla="*/ 0 h 2666301"/>
                        <a:gd name="csX6" fmla="*/ 2649053 w 4790524"/>
                        <a:gd name="csY6" fmla="*/ 0 h 2666301"/>
                        <a:gd name="csX7" fmla="*/ 3318140 w 4790524"/>
                        <a:gd name="csY7" fmla="*/ 0 h 2666301"/>
                        <a:gd name="csX8" fmla="*/ 3848794 w 4790524"/>
                        <a:gd name="csY8" fmla="*/ 0 h 2666301"/>
                        <a:gd name="csX9" fmla="*/ 4702456 w 4790524"/>
                        <a:gd name="csY9" fmla="*/ 0 h 2666301"/>
                        <a:gd name="csX10" fmla="*/ 4790524 w 4790524"/>
                        <a:gd name="csY10" fmla="*/ 88068 h 2666301"/>
                        <a:gd name="csX11" fmla="*/ 4790524 w 4790524"/>
                        <a:gd name="csY11" fmla="*/ 561199 h 2666301"/>
                        <a:gd name="csX12" fmla="*/ 4790524 w 4790524"/>
                        <a:gd name="csY12" fmla="*/ 1109036 h 2666301"/>
                        <a:gd name="csX13" fmla="*/ 4790524 w 4790524"/>
                        <a:gd name="csY13" fmla="*/ 1582167 h 2666301"/>
                        <a:gd name="csX14" fmla="*/ 4790524 w 4790524"/>
                        <a:gd name="csY14" fmla="*/ 2055298 h 2666301"/>
                        <a:gd name="csX15" fmla="*/ 4790524 w 4790524"/>
                        <a:gd name="csY15" fmla="*/ 2578233 h 2666301"/>
                        <a:gd name="csX16" fmla="*/ 4702456 w 4790524"/>
                        <a:gd name="csY16" fmla="*/ 2666301 h 2666301"/>
                        <a:gd name="csX17" fmla="*/ 4217945 w 4790524"/>
                        <a:gd name="csY17" fmla="*/ 2666301 h 2666301"/>
                        <a:gd name="csX18" fmla="*/ 3548859 w 4790524"/>
                        <a:gd name="csY18" fmla="*/ 2666301 h 2666301"/>
                        <a:gd name="csX19" fmla="*/ 2879773 w 4790524"/>
                        <a:gd name="csY19" fmla="*/ 2666301 h 2666301"/>
                        <a:gd name="csX20" fmla="*/ 2256830 w 4790524"/>
                        <a:gd name="csY20" fmla="*/ 2666301 h 2666301"/>
                        <a:gd name="csX21" fmla="*/ 1633888 w 4790524"/>
                        <a:gd name="csY21" fmla="*/ 2666301 h 2666301"/>
                        <a:gd name="csX22" fmla="*/ 1149377 w 4790524"/>
                        <a:gd name="csY22" fmla="*/ 2666301 h 2666301"/>
                        <a:gd name="csX23" fmla="*/ 88068 w 4790524"/>
                        <a:gd name="csY23" fmla="*/ 2666301 h 2666301"/>
                        <a:gd name="csX24" fmla="*/ 0 w 4790524"/>
                        <a:gd name="csY24" fmla="*/ 2578233 h 2666301"/>
                        <a:gd name="csX25" fmla="*/ 0 w 4790524"/>
                        <a:gd name="csY25" fmla="*/ 2080200 h 2666301"/>
                        <a:gd name="csX26" fmla="*/ 0 w 4790524"/>
                        <a:gd name="csY26" fmla="*/ 1557265 h 2666301"/>
                        <a:gd name="csX27" fmla="*/ 0 w 4790524"/>
                        <a:gd name="csY27" fmla="*/ 1059232 h 2666301"/>
                        <a:gd name="csX28" fmla="*/ 0 w 4790524"/>
                        <a:gd name="csY28" fmla="*/ 561199 h 2666301"/>
                        <a:gd name="csX29" fmla="*/ 0 w 4790524"/>
                        <a:gd name="csY29" fmla="*/ 88068 h 266630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Lst>
                      <a:rect l="l" t="t" r="r" b="b"/>
                      <a:pathLst>
                        <a:path w="4790524" h="2666301" fill="none" extrusionOk="0">
                          <a:moveTo>
                            <a:pt x="0" y="88068"/>
                          </a:moveTo>
                          <a:cubicBezTo>
                            <a:pt x="-4757" y="44717"/>
                            <a:pt x="50096" y="6322"/>
                            <a:pt x="88068" y="0"/>
                          </a:cubicBezTo>
                          <a:cubicBezTo>
                            <a:pt x="272384" y="-59372"/>
                            <a:pt x="574633" y="54654"/>
                            <a:pt x="711010" y="0"/>
                          </a:cubicBezTo>
                          <a:cubicBezTo>
                            <a:pt x="847387" y="-54654"/>
                            <a:pt x="998880" y="40602"/>
                            <a:pt x="1149377" y="0"/>
                          </a:cubicBezTo>
                          <a:cubicBezTo>
                            <a:pt x="1299874" y="-40602"/>
                            <a:pt x="1567807" y="23028"/>
                            <a:pt x="1680032" y="0"/>
                          </a:cubicBezTo>
                          <a:cubicBezTo>
                            <a:pt x="1792258" y="-23028"/>
                            <a:pt x="1957003" y="40852"/>
                            <a:pt x="2210686" y="0"/>
                          </a:cubicBezTo>
                          <a:cubicBezTo>
                            <a:pt x="2464369" y="-40852"/>
                            <a:pt x="2545646" y="17102"/>
                            <a:pt x="2649053" y="0"/>
                          </a:cubicBezTo>
                          <a:cubicBezTo>
                            <a:pt x="2752460" y="-17102"/>
                            <a:pt x="2989033" y="29440"/>
                            <a:pt x="3318140" y="0"/>
                          </a:cubicBezTo>
                          <a:cubicBezTo>
                            <a:pt x="3647247" y="-29440"/>
                            <a:pt x="3589115" y="48703"/>
                            <a:pt x="3848794" y="0"/>
                          </a:cubicBezTo>
                          <a:cubicBezTo>
                            <a:pt x="4108473" y="-48703"/>
                            <a:pt x="4427713" y="57186"/>
                            <a:pt x="4702456" y="0"/>
                          </a:cubicBezTo>
                          <a:cubicBezTo>
                            <a:pt x="4755516" y="891"/>
                            <a:pt x="4800737" y="31180"/>
                            <a:pt x="4790524" y="88068"/>
                          </a:cubicBezTo>
                          <a:cubicBezTo>
                            <a:pt x="4806364" y="242655"/>
                            <a:pt x="4737464" y="372735"/>
                            <a:pt x="4790524" y="561199"/>
                          </a:cubicBezTo>
                          <a:cubicBezTo>
                            <a:pt x="4843584" y="749663"/>
                            <a:pt x="4780818" y="937624"/>
                            <a:pt x="4790524" y="1109036"/>
                          </a:cubicBezTo>
                          <a:cubicBezTo>
                            <a:pt x="4800230" y="1280448"/>
                            <a:pt x="4761242" y="1373132"/>
                            <a:pt x="4790524" y="1582167"/>
                          </a:cubicBezTo>
                          <a:cubicBezTo>
                            <a:pt x="4819806" y="1791202"/>
                            <a:pt x="4769550" y="1844160"/>
                            <a:pt x="4790524" y="2055298"/>
                          </a:cubicBezTo>
                          <a:cubicBezTo>
                            <a:pt x="4811498" y="2266436"/>
                            <a:pt x="4752373" y="2336526"/>
                            <a:pt x="4790524" y="2578233"/>
                          </a:cubicBezTo>
                          <a:cubicBezTo>
                            <a:pt x="4792962" y="2631613"/>
                            <a:pt x="4754642" y="2669228"/>
                            <a:pt x="4702456" y="2666301"/>
                          </a:cubicBezTo>
                          <a:cubicBezTo>
                            <a:pt x="4529761" y="2710689"/>
                            <a:pt x="4394654" y="2626837"/>
                            <a:pt x="4217945" y="2666301"/>
                          </a:cubicBezTo>
                          <a:cubicBezTo>
                            <a:pt x="4041236" y="2705765"/>
                            <a:pt x="3807460" y="2639100"/>
                            <a:pt x="3548859" y="2666301"/>
                          </a:cubicBezTo>
                          <a:cubicBezTo>
                            <a:pt x="3290258" y="2693502"/>
                            <a:pt x="3179322" y="2600629"/>
                            <a:pt x="2879773" y="2666301"/>
                          </a:cubicBezTo>
                          <a:cubicBezTo>
                            <a:pt x="2580224" y="2731973"/>
                            <a:pt x="2495798" y="2628912"/>
                            <a:pt x="2256830" y="2666301"/>
                          </a:cubicBezTo>
                          <a:cubicBezTo>
                            <a:pt x="2017862" y="2703690"/>
                            <a:pt x="1840075" y="2602729"/>
                            <a:pt x="1633888" y="2666301"/>
                          </a:cubicBezTo>
                          <a:cubicBezTo>
                            <a:pt x="1427701" y="2729873"/>
                            <a:pt x="1387667" y="2647728"/>
                            <a:pt x="1149377" y="2666301"/>
                          </a:cubicBezTo>
                          <a:cubicBezTo>
                            <a:pt x="911087" y="2684874"/>
                            <a:pt x="311546" y="2550475"/>
                            <a:pt x="88068" y="2666301"/>
                          </a:cubicBezTo>
                          <a:cubicBezTo>
                            <a:pt x="35760" y="2673803"/>
                            <a:pt x="-6524" y="2624751"/>
                            <a:pt x="0" y="2578233"/>
                          </a:cubicBezTo>
                          <a:cubicBezTo>
                            <a:pt x="-11555" y="2367544"/>
                            <a:pt x="31034" y="2212792"/>
                            <a:pt x="0" y="2080200"/>
                          </a:cubicBezTo>
                          <a:cubicBezTo>
                            <a:pt x="-31034" y="1947608"/>
                            <a:pt x="56067" y="1679430"/>
                            <a:pt x="0" y="1557265"/>
                          </a:cubicBezTo>
                          <a:cubicBezTo>
                            <a:pt x="-56067" y="1435100"/>
                            <a:pt x="35349" y="1231701"/>
                            <a:pt x="0" y="1059232"/>
                          </a:cubicBezTo>
                          <a:cubicBezTo>
                            <a:pt x="-35349" y="886763"/>
                            <a:pt x="20840" y="735007"/>
                            <a:pt x="0" y="561199"/>
                          </a:cubicBezTo>
                          <a:cubicBezTo>
                            <a:pt x="-20840" y="387391"/>
                            <a:pt x="49052" y="280403"/>
                            <a:pt x="0" y="88068"/>
                          </a:cubicBezTo>
                          <a:close/>
                        </a:path>
                        <a:path w="4790524" h="2666301" stroke="0" extrusionOk="0">
                          <a:moveTo>
                            <a:pt x="0" y="88068"/>
                          </a:moveTo>
                          <a:cubicBezTo>
                            <a:pt x="-9037" y="41977"/>
                            <a:pt x="34063" y="3633"/>
                            <a:pt x="88068" y="0"/>
                          </a:cubicBezTo>
                          <a:cubicBezTo>
                            <a:pt x="320761" y="-62418"/>
                            <a:pt x="484998" y="51657"/>
                            <a:pt x="618723" y="0"/>
                          </a:cubicBezTo>
                          <a:cubicBezTo>
                            <a:pt x="752449" y="-51657"/>
                            <a:pt x="958267" y="36584"/>
                            <a:pt x="1149377" y="0"/>
                          </a:cubicBezTo>
                          <a:cubicBezTo>
                            <a:pt x="1340487" y="-36584"/>
                            <a:pt x="1523740" y="17412"/>
                            <a:pt x="1818464" y="0"/>
                          </a:cubicBezTo>
                          <a:cubicBezTo>
                            <a:pt x="2113188" y="-17412"/>
                            <a:pt x="2148315" y="34457"/>
                            <a:pt x="2256830" y="0"/>
                          </a:cubicBezTo>
                          <a:cubicBezTo>
                            <a:pt x="2365345" y="-34457"/>
                            <a:pt x="2575885" y="29336"/>
                            <a:pt x="2741341" y="0"/>
                          </a:cubicBezTo>
                          <a:cubicBezTo>
                            <a:pt x="2906797" y="-29336"/>
                            <a:pt x="3020913" y="9480"/>
                            <a:pt x="3225852" y="0"/>
                          </a:cubicBezTo>
                          <a:cubicBezTo>
                            <a:pt x="3430791" y="-9480"/>
                            <a:pt x="3619372" y="27690"/>
                            <a:pt x="3894938" y="0"/>
                          </a:cubicBezTo>
                          <a:cubicBezTo>
                            <a:pt x="4170504" y="-27690"/>
                            <a:pt x="4387827" y="45788"/>
                            <a:pt x="4702456" y="0"/>
                          </a:cubicBezTo>
                          <a:cubicBezTo>
                            <a:pt x="4747693" y="-12824"/>
                            <a:pt x="4791104" y="40576"/>
                            <a:pt x="4790524" y="88068"/>
                          </a:cubicBezTo>
                          <a:cubicBezTo>
                            <a:pt x="4825181" y="209200"/>
                            <a:pt x="4737776" y="484938"/>
                            <a:pt x="4790524" y="635904"/>
                          </a:cubicBezTo>
                          <a:cubicBezTo>
                            <a:pt x="4843272" y="786870"/>
                            <a:pt x="4786734" y="908286"/>
                            <a:pt x="4790524" y="1109036"/>
                          </a:cubicBezTo>
                          <a:cubicBezTo>
                            <a:pt x="4794314" y="1309786"/>
                            <a:pt x="4781341" y="1409610"/>
                            <a:pt x="4790524" y="1532364"/>
                          </a:cubicBezTo>
                          <a:cubicBezTo>
                            <a:pt x="4799707" y="1655118"/>
                            <a:pt x="4752159" y="1886955"/>
                            <a:pt x="4790524" y="2055298"/>
                          </a:cubicBezTo>
                          <a:cubicBezTo>
                            <a:pt x="4828889" y="2223641"/>
                            <a:pt x="4735806" y="2451280"/>
                            <a:pt x="4790524" y="2578233"/>
                          </a:cubicBezTo>
                          <a:cubicBezTo>
                            <a:pt x="4787160" y="2634340"/>
                            <a:pt x="4752155" y="2664717"/>
                            <a:pt x="4702456" y="2666301"/>
                          </a:cubicBezTo>
                          <a:cubicBezTo>
                            <a:pt x="4560606" y="2719968"/>
                            <a:pt x="4326449" y="2644946"/>
                            <a:pt x="4217945" y="2666301"/>
                          </a:cubicBezTo>
                          <a:cubicBezTo>
                            <a:pt x="4109441" y="2687656"/>
                            <a:pt x="3858556" y="2613084"/>
                            <a:pt x="3641147" y="2666301"/>
                          </a:cubicBezTo>
                          <a:cubicBezTo>
                            <a:pt x="3423738" y="2719518"/>
                            <a:pt x="3175475" y="2654612"/>
                            <a:pt x="3018204" y="2666301"/>
                          </a:cubicBezTo>
                          <a:cubicBezTo>
                            <a:pt x="2860933" y="2677990"/>
                            <a:pt x="2792168" y="2621497"/>
                            <a:pt x="2579838" y="2666301"/>
                          </a:cubicBezTo>
                          <a:cubicBezTo>
                            <a:pt x="2367508" y="2711105"/>
                            <a:pt x="2172023" y="2609449"/>
                            <a:pt x="2049183" y="2666301"/>
                          </a:cubicBezTo>
                          <a:cubicBezTo>
                            <a:pt x="1926343" y="2723153"/>
                            <a:pt x="1636558" y="2664921"/>
                            <a:pt x="1380097" y="2666301"/>
                          </a:cubicBezTo>
                          <a:cubicBezTo>
                            <a:pt x="1123636" y="2667681"/>
                            <a:pt x="960712" y="2643632"/>
                            <a:pt x="757154" y="2666301"/>
                          </a:cubicBezTo>
                          <a:cubicBezTo>
                            <a:pt x="553596" y="2688970"/>
                            <a:pt x="313741" y="2631547"/>
                            <a:pt x="88068" y="2666301"/>
                          </a:cubicBezTo>
                          <a:cubicBezTo>
                            <a:pt x="49865" y="2667435"/>
                            <a:pt x="-7758" y="2629547"/>
                            <a:pt x="0" y="2578233"/>
                          </a:cubicBezTo>
                          <a:cubicBezTo>
                            <a:pt x="-41266" y="2381706"/>
                            <a:pt x="44138" y="2351256"/>
                            <a:pt x="0" y="2130003"/>
                          </a:cubicBezTo>
                          <a:cubicBezTo>
                            <a:pt x="-44138" y="1908750"/>
                            <a:pt x="16447" y="1754232"/>
                            <a:pt x="0" y="1582167"/>
                          </a:cubicBezTo>
                          <a:cubicBezTo>
                            <a:pt x="-16447" y="1410102"/>
                            <a:pt x="13639" y="1212440"/>
                            <a:pt x="0" y="1109036"/>
                          </a:cubicBezTo>
                          <a:cubicBezTo>
                            <a:pt x="-13639" y="1005632"/>
                            <a:pt x="23557" y="778705"/>
                            <a:pt x="0" y="586101"/>
                          </a:cubicBezTo>
                          <a:cubicBezTo>
                            <a:pt x="-23557" y="393498"/>
                            <a:pt x="45006" y="315448"/>
                            <a:pt x="0" y="88068"/>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grpFill/>
            <a:ln w="12700" cap="flat" cmpd="sng">
              <a:solidFill>
                <a:srgbClr val="7F7F7F"/>
              </a:solidFill>
              <a:prstDash val="dash"/>
              <a:miter lim="800000"/>
              <a:headEnd type="diamond"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67949" y="2314575"/>
              <a:ext cx="3867930" cy="2754668"/>
            </a:xfrm>
            <a:prstGeom prst="roundRect">
              <a:avLst>
                <a:gd name="adj" fmla="val 3303"/>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3082712976">
                    <a:custGeom>
                      <a:avLst/>
                      <a:gdLst>
                        <a:gd name="csX0" fmla="*/ 0 w 4229010"/>
                        <a:gd name="csY0" fmla="*/ 87490 h 2648791"/>
                        <a:gd name="csX1" fmla="*/ 87490 w 4229010"/>
                        <a:gd name="csY1" fmla="*/ 0 h 2648791"/>
                        <a:gd name="csX2" fmla="*/ 747718 w 4229010"/>
                        <a:gd name="csY2" fmla="*/ 0 h 2648791"/>
                        <a:gd name="csX3" fmla="*/ 1205244 w 4229010"/>
                        <a:gd name="csY3" fmla="*/ 0 h 2648791"/>
                        <a:gd name="csX4" fmla="*/ 1662770 w 4229010"/>
                        <a:gd name="csY4" fmla="*/ 0 h 2648791"/>
                        <a:gd name="csX5" fmla="*/ 2201377 w 4229010"/>
                        <a:gd name="csY5" fmla="*/ 0 h 2648791"/>
                        <a:gd name="csX6" fmla="*/ 2861605 w 4229010"/>
                        <a:gd name="csY6" fmla="*/ 0 h 2648791"/>
                        <a:gd name="csX7" fmla="*/ 3319131 w 4229010"/>
                        <a:gd name="csY7" fmla="*/ 0 h 2648791"/>
                        <a:gd name="csX8" fmla="*/ 4141520 w 4229010"/>
                        <a:gd name="csY8" fmla="*/ 0 h 2648791"/>
                        <a:gd name="csX9" fmla="*/ 4229010 w 4229010"/>
                        <a:gd name="csY9" fmla="*/ 87490 h 2648791"/>
                        <a:gd name="csX10" fmla="*/ 4229010 w 4229010"/>
                        <a:gd name="csY10" fmla="*/ 582252 h 2648791"/>
                        <a:gd name="csX11" fmla="*/ 4229010 w 4229010"/>
                        <a:gd name="csY11" fmla="*/ 1077014 h 2648791"/>
                        <a:gd name="csX12" fmla="*/ 4229010 w 4229010"/>
                        <a:gd name="csY12" fmla="*/ 1596515 h 2648791"/>
                        <a:gd name="csX13" fmla="*/ 4229010 w 4229010"/>
                        <a:gd name="csY13" fmla="*/ 2066539 h 2648791"/>
                        <a:gd name="csX14" fmla="*/ 4229010 w 4229010"/>
                        <a:gd name="csY14" fmla="*/ 2561301 h 2648791"/>
                        <a:gd name="csX15" fmla="*/ 4141520 w 4229010"/>
                        <a:gd name="csY15" fmla="*/ 2648791 h 2648791"/>
                        <a:gd name="csX16" fmla="*/ 3521833 w 4229010"/>
                        <a:gd name="csY16" fmla="*/ 2648791 h 2648791"/>
                        <a:gd name="csX17" fmla="*/ 2902145 w 4229010"/>
                        <a:gd name="csY17" fmla="*/ 2648791 h 2648791"/>
                        <a:gd name="csX18" fmla="*/ 2363538 w 4229010"/>
                        <a:gd name="csY18" fmla="*/ 2648791 h 2648791"/>
                        <a:gd name="csX19" fmla="*/ 1906012 w 4229010"/>
                        <a:gd name="csY19" fmla="*/ 2648791 h 2648791"/>
                        <a:gd name="csX20" fmla="*/ 1326865 w 4229010"/>
                        <a:gd name="csY20" fmla="*/ 2648791 h 2648791"/>
                        <a:gd name="csX21" fmla="*/ 869339 w 4229010"/>
                        <a:gd name="csY21" fmla="*/ 2648791 h 2648791"/>
                        <a:gd name="csX22" fmla="*/ 87490 w 4229010"/>
                        <a:gd name="csY22" fmla="*/ 2648791 h 2648791"/>
                        <a:gd name="csX23" fmla="*/ 0 w 4229010"/>
                        <a:gd name="csY23" fmla="*/ 2561301 h 2648791"/>
                        <a:gd name="csX24" fmla="*/ 0 w 4229010"/>
                        <a:gd name="csY24" fmla="*/ 2066539 h 2648791"/>
                        <a:gd name="csX25" fmla="*/ 0 w 4229010"/>
                        <a:gd name="csY25" fmla="*/ 1596515 h 2648791"/>
                        <a:gd name="csX26" fmla="*/ 0 w 4229010"/>
                        <a:gd name="csY26" fmla="*/ 1151229 h 2648791"/>
                        <a:gd name="csX27" fmla="*/ 0 w 4229010"/>
                        <a:gd name="csY27" fmla="*/ 631728 h 2648791"/>
                        <a:gd name="csX28" fmla="*/ 0 w 4229010"/>
                        <a:gd name="csY28" fmla="*/ 87490 h 264879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Lst>
                      <a:rect l="l" t="t" r="r" b="b"/>
                      <a:pathLst>
                        <a:path w="4229010" h="2648791" fill="none" extrusionOk="0">
                          <a:moveTo>
                            <a:pt x="0" y="87490"/>
                          </a:moveTo>
                          <a:cubicBezTo>
                            <a:pt x="-300" y="42734"/>
                            <a:pt x="31360" y="724"/>
                            <a:pt x="87490" y="0"/>
                          </a:cubicBezTo>
                          <a:cubicBezTo>
                            <a:pt x="347705" y="-75354"/>
                            <a:pt x="602860" y="62643"/>
                            <a:pt x="747718" y="0"/>
                          </a:cubicBezTo>
                          <a:cubicBezTo>
                            <a:pt x="892576" y="-62643"/>
                            <a:pt x="1023935" y="36486"/>
                            <a:pt x="1205244" y="0"/>
                          </a:cubicBezTo>
                          <a:cubicBezTo>
                            <a:pt x="1386553" y="-36486"/>
                            <a:pt x="1515032" y="5204"/>
                            <a:pt x="1662770" y="0"/>
                          </a:cubicBezTo>
                          <a:cubicBezTo>
                            <a:pt x="1810508" y="-5204"/>
                            <a:pt x="2024487" y="32518"/>
                            <a:pt x="2201377" y="0"/>
                          </a:cubicBezTo>
                          <a:cubicBezTo>
                            <a:pt x="2378267" y="-32518"/>
                            <a:pt x="2610373" y="37961"/>
                            <a:pt x="2861605" y="0"/>
                          </a:cubicBezTo>
                          <a:cubicBezTo>
                            <a:pt x="3112837" y="-37961"/>
                            <a:pt x="3123938" y="30834"/>
                            <a:pt x="3319131" y="0"/>
                          </a:cubicBezTo>
                          <a:cubicBezTo>
                            <a:pt x="3514324" y="-30834"/>
                            <a:pt x="3973893" y="54154"/>
                            <a:pt x="4141520" y="0"/>
                          </a:cubicBezTo>
                          <a:cubicBezTo>
                            <a:pt x="4183808" y="677"/>
                            <a:pt x="4227710" y="33805"/>
                            <a:pt x="4229010" y="87490"/>
                          </a:cubicBezTo>
                          <a:cubicBezTo>
                            <a:pt x="4272883" y="233610"/>
                            <a:pt x="4193386" y="378976"/>
                            <a:pt x="4229010" y="582252"/>
                          </a:cubicBezTo>
                          <a:cubicBezTo>
                            <a:pt x="4264634" y="785528"/>
                            <a:pt x="4211269" y="872148"/>
                            <a:pt x="4229010" y="1077014"/>
                          </a:cubicBezTo>
                          <a:cubicBezTo>
                            <a:pt x="4246751" y="1281880"/>
                            <a:pt x="4181501" y="1455045"/>
                            <a:pt x="4229010" y="1596515"/>
                          </a:cubicBezTo>
                          <a:cubicBezTo>
                            <a:pt x="4276519" y="1737985"/>
                            <a:pt x="4201330" y="1912988"/>
                            <a:pt x="4229010" y="2066539"/>
                          </a:cubicBezTo>
                          <a:cubicBezTo>
                            <a:pt x="4256690" y="2220090"/>
                            <a:pt x="4222743" y="2419516"/>
                            <a:pt x="4229010" y="2561301"/>
                          </a:cubicBezTo>
                          <a:cubicBezTo>
                            <a:pt x="4228542" y="2611384"/>
                            <a:pt x="4184669" y="2636407"/>
                            <a:pt x="4141520" y="2648791"/>
                          </a:cubicBezTo>
                          <a:cubicBezTo>
                            <a:pt x="3967895" y="2670347"/>
                            <a:pt x="3750345" y="2640423"/>
                            <a:pt x="3521833" y="2648791"/>
                          </a:cubicBezTo>
                          <a:cubicBezTo>
                            <a:pt x="3293321" y="2657159"/>
                            <a:pt x="3037370" y="2604532"/>
                            <a:pt x="2902145" y="2648791"/>
                          </a:cubicBezTo>
                          <a:cubicBezTo>
                            <a:pt x="2766920" y="2693050"/>
                            <a:pt x="2550824" y="2639257"/>
                            <a:pt x="2363538" y="2648791"/>
                          </a:cubicBezTo>
                          <a:cubicBezTo>
                            <a:pt x="2176252" y="2658325"/>
                            <a:pt x="2038176" y="2601331"/>
                            <a:pt x="1906012" y="2648791"/>
                          </a:cubicBezTo>
                          <a:cubicBezTo>
                            <a:pt x="1773848" y="2696251"/>
                            <a:pt x="1554399" y="2639386"/>
                            <a:pt x="1326865" y="2648791"/>
                          </a:cubicBezTo>
                          <a:cubicBezTo>
                            <a:pt x="1099331" y="2658196"/>
                            <a:pt x="1070764" y="2638739"/>
                            <a:pt x="869339" y="2648791"/>
                          </a:cubicBezTo>
                          <a:cubicBezTo>
                            <a:pt x="667914" y="2658843"/>
                            <a:pt x="421584" y="2570399"/>
                            <a:pt x="87490" y="2648791"/>
                          </a:cubicBezTo>
                          <a:cubicBezTo>
                            <a:pt x="43964" y="2650075"/>
                            <a:pt x="-13020" y="2607482"/>
                            <a:pt x="0" y="2561301"/>
                          </a:cubicBezTo>
                          <a:cubicBezTo>
                            <a:pt x="-56228" y="2462215"/>
                            <a:pt x="29634" y="2228192"/>
                            <a:pt x="0" y="2066539"/>
                          </a:cubicBezTo>
                          <a:cubicBezTo>
                            <a:pt x="-29634" y="1904886"/>
                            <a:pt x="25795" y="1737687"/>
                            <a:pt x="0" y="1596515"/>
                          </a:cubicBezTo>
                          <a:cubicBezTo>
                            <a:pt x="-25795" y="1455343"/>
                            <a:pt x="18154" y="1364239"/>
                            <a:pt x="0" y="1151229"/>
                          </a:cubicBezTo>
                          <a:cubicBezTo>
                            <a:pt x="-18154" y="938219"/>
                            <a:pt x="14781" y="773583"/>
                            <a:pt x="0" y="631728"/>
                          </a:cubicBezTo>
                          <a:cubicBezTo>
                            <a:pt x="-14781" y="489873"/>
                            <a:pt x="38317" y="274050"/>
                            <a:pt x="0" y="87490"/>
                          </a:cubicBezTo>
                          <a:close/>
                        </a:path>
                        <a:path w="4229010" h="2648791" stroke="0" extrusionOk="0">
                          <a:moveTo>
                            <a:pt x="0" y="87490"/>
                          </a:moveTo>
                          <a:cubicBezTo>
                            <a:pt x="3012" y="40658"/>
                            <a:pt x="39706" y="-7172"/>
                            <a:pt x="87490" y="0"/>
                          </a:cubicBezTo>
                          <a:cubicBezTo>
                            <a:pt x="205197" y="-54254"/>
                            <a:pt x="326076" y="44210"/>
                            <a:pt x="545016" y="0"/>
                          </a:cubicBezTo>
                          <a:cubicBezTo>
                            <a:pt x="763956" y="-44210"/>
                            <a:pt x="873332" y="30573"/>
                            <a:pt x="1002542" y="0"/>
                          </a:cubicBezTo>
                          <a:cubicBezTo>
                            <a:pt x="1131752" y="-30573"/>
                            <a:pt x="1391040" y="58066"/>
                            <a:pt x="1662770" y="0"/>
                          </a:cubicBezTo>
                          <a:cubicBezTo>
                            <a:pt x="1934500" y="-58066"/>
                            <a:pt x="2100296" y="53819"/>
                            <a:pt x="2241917" y="0"/>
                          </a:cubicBezTo>
                          <a:cubicBezTo>
                            <a:pt x="2383538" y="-53819"/>
                            <a:pt x="2681026" y="45833"/>
                            <a:pt x="2902145" y="0"/>
                          </a:cubicBezTo>
                          <a:cubicBezTo>
                            <a:pt x="3123264" y="-45833"/>
                            <a:pt x="3193381" y="36340"/>
                            <a:pt x="3400212" y="0"/>
                          </a:cubicBezTo>
                          <a:cubicBezTo>
                            <a:pt x="3607043" y="-36340"/>
                            <a:pt x="3977061" y="920"/>
                            <a:pt x="4141520" y="0"/>
                          </a:cubicBezTo>
                          <a:cubicBezTo>
                            <a:pt x="4189778" y="1057"/>
                            <a:pt x="4239134" y="47977"/>
                            <a:pt x="4229010" y="87490"/>
                          </a:cubicBezTo>
                          <a:cubicBezTo>
                            <a:pt x="4250263" y="288734"/>
                            <a:pt x="4185187" y="454229"/>
                            <a:pt x="4229010" y="606990"/>
                          </a:cubicBezTo>
                          <a:cubicBezTo>
                            <a:pt x="4272833" y="759751"/>
                            <a:pt x="4202025" y="840053"/>
                            <a:pt x="4229010" y="1027538"/>
                          </a:cubicBezTo>
                          <a:cubicBezTo>
                            <a:pt x="4255995" y="1215023"/>
                            <a:pt x="4191306" y="1423787"/>
                            <a:pt x="4229010" y="1547038"/>
                          </a:cubicBezTo>
                          <a:cubicBezTo>
                            <a:pt x="4266714" y="1670289"/>
                            <a:pt x="4211549" y="1916186"/>
                            <a:pt x="4229010" y="2017063"/>
                          </a:cubicBezTo>
                          <a:cubicBezTo>
                            <a:pt x="4246471" y="2117940"/>
                            <a:pt x="4208707" y="2402504"/>
                            <a:pt x="4229010" y="2561301"/>
                          </a:cubicBezTo>
                          <a:cubicBezTo>
                            <a:pt x="4222300" y="2601227"/>
                            <a:pt x="4193339" y="2651139"/>
                            <a:pt x="4141520" y="2648791"/>
                          </a:cubicBezTo>
                          <a:cubicBezTo>
                            <a:pt x="3849975" y="2674643"/>
                            <a:pt x="3774897" y="2598899"/>
                            <a:pt x="3521833" y="2648791"/>
                          </a:cubicBezTo>
                          <a:cubicBezTo>
                            <a:pt x="3268769" y="2698683"/>
                            <a:pt x="3181422" y="2621197"/>
                            <a:pt x="2983226" y="2648791"/>
                          </a:cubicBezTo>
                          <a:cubicBezTo>
                            <a:pt x="2785030" y="2676385"/>
                            <a:pt x="2698190" y="2646906"/>
                            <a:pt x="2444619" y="2648791"/>
                          </a:cubicBezTo>
                          <a:cubicBezTo>
                            <a:pt x="2191048" y="2650676"/>
                            <a:pt x="2022020" y="2587295"/>
                            <a:pt x="1865472" y="2648791"/>
                          </a:cubicBezTo>
                          <a:cubicBezTo>
                            <a:pt x="1708924" y="2710287"/>
                            <a:pt x="1404305" y="2586409"/>
                            <a:pt x="1286325" y="2648791"/>
                          </a:cubicBezTo>
                          <a:cubicBezTo>
                            <a:pt x="1168345" y="2711173"/>
                            <a:pt x="831861" y="2594555"/>
                            <a:pt x="707177" y="2648791"/>
                          </a:cubicBezTo>
                          <a:cubicBezTo>
                            <a:pt x="582493" y="2703027"/>
                            <a:pt x="233054" y="2589259"/>
                            <a:pt x="87490" y="2648791"/>
                          </a:cubicBezTo>
                          <a:cubicBezTo>
                            <a:pt x="32170" y="2660245"/>
                            <a:pt x="3271" y="2611375"/>
                            <a:pt x="0" y="2561301"/>
                          </a:cubicBezTo>
                          <a:cubicBezTo>
                            <a:pt x="-54763" y="2312621"/>
                            <a:pt x="25903" y="2179903"/>
                            <a:pt x="0" y="2041801"/>
                          </a:cubicBezTo>
                          <a:cubicBezTo>
                            <a:pt x="-25903" y="1903699"/>
                            <a:pt x="47127" y="1774684"/>
                            <a:pt x="0" y="1571777"/>
                          </a:cubicBezTo>
                          <a:cubicBezTo>
                            <a:pt x="-47127" y="1368870"/>
                            <a:pt x="47199" y="1273083"/>
                            <a:pt x="0" y="1101753"/>
                          </a:cubicBezTo>
                          <a:cubicBezTo>
                            <a:pt x="-47199" y="930423"/>
                            <a:pt x="49763" y="779692"/>
                            <a:pt x="0" y="582252"/>
                          </a:cubicBezTo>
                          <a:cubicBezTo>
                            <a:pt x="-49763" y="384812"/>
                            <a:pt x="5619" y="191840"/>
                            <a:pt x="0" y="87490"/>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53304" y="2678641"/>
              <a:ext cx="3608419" cy="5265"/>
            </a:xfrm>
            <a:prstGeom prst="straightConnector1">
              <a:avLst/>
            </a:prstGeom>
            <a:grpFill/>
            <a:ln w="12700" cap="flat" cmpd="sng">
              <a:solidFill>
                <a:srgbClr val="7F7F7F"/>
              </a:solidFill>
              <a:prstDash val="dash"/>
              <a:miter lim="800000"/>
              <a:headEnd type="diamond"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19409862">
                    <a:custGeom>
                      <a:avLst/>
                      <a:gdLst>
                        <a:gd name="csX0" fmla="*/ 0 w 3896707"/>
                        <a:gd name="csY0" fmla="*/ 86055 h 2605367"/>
                        <a:gd name="csX1" fmla="*/ 86055 w 3896707"/>
                        <a:gd name="csY1" fmla="*/ 0 h 2605367"/>
                        <a:gd name="csX2" fmla="*/ 506402 w 3896707"/>
                        <a:gd name="csY2" fmla="*/ 0 h 2605367"/>
                        <a:gd name="csX3" fmla="*/ 1075734 w 3896707"/>
                        <a:gd name="csY3" fmla="*/ 0 h 2605367"/>
                        <a:gd name="csX4" fmla="*/ 1570573 w 3896707"/>
                        <a:gd name="csY4" fmla="*/ 0 h 2605367"/>
                        <a:gd name="csX5" fmla="*/ 2102658 w 3896707"/>
                        <a:gd name="csY5" fmla="*/ 0 h 2605367"/>
                        <a:gd name="csX6" fmla="*/ 2634744 w 3896707"/>
                        <a:gd name="csY6" fmla="*/ 0 h 2605367"/>
                        <a:gd name="csX7" fmla="*/ 3241321 w 3896707"/>
                        <a:gd name="csY7" fmla="*/ 0 h 2605367"/>
                        <a:gd name="csX8" fmla="*/ 3810652 w 3896707"/>
                        <a:gd name="csY8" fmla="*/ 0 h 2605367"/>
                        <a:gd name="csX9" fmla="*/ 3896707 w 3896707"/>
                        <a:gd name="csY9" fmla="*/ 86055 h 2605367"/>
                        <a:gd name="csX10" fmla="*/ 3896707 w 3896707"/>
                        <a:gd name="csY10" fmla="*/ 621372 h 2605367"/>
                        <a:gd name="csX11" fmla="*/ 3896707 w 3896707"/>
                        <a:gd name="csY11" fmla="*/ 1059358 h 2605367"/>
                        <a:gd name="csX12" fmla="*/ 3896707 w 3896707"/>
                        <a:gd name="csY12" fmla="*/ 1521677 h 2605367"/>
                        <a:gd name="csX13" fmla="*/ 3896707 w 3896707"/>
                        <a:gd name="csY13" fmla="*/ 2056993 h 2605367"/>
                        <a:gd name="csX14" fmla="*/ 3896707 w 3896707"/>
                        <a:gd name="csY14" fmla="*/ 2519312 h 2605367"/>
                        <a:gd name="csX15" fmla="*/ 3810652 w 3896707"/>
                        <a:gd name="csY15" fmla="*/ 2605367 h 2605367"/>
                        <a:gd name="csX16" fmla="*/ 3278567 w 3896707"/>
                        <a:gd name="csY16" fmla="*/ 2605367 h 2605367"/>
                        <a:gd name="csX17" fmla="*/ 2746481 w 3896707"/>
                        <a:gd name="csY17" fmla="*/ 2605367 h 2605367"/>
                        <a:gd name="csX18" fmla="*/ 2251642 w 3896707"/>
                        <a:gd name="csY18" fmla="*/ 2605367 h 2605367"/>
                        <a:gd name="csX19" fmla="*/ 1756803 w 3896707"/>
                        <a:gd name="csY19" fmla="*/ 2605367 h 2605367"/>
                        <a:gd name="csX20" fmla="*/ 1224718 w 3896707"/>
                        <a:gd name="csY20" fmla="*/ 2605367 h 2605367"/>
                        <a:gd name="csX21" fmla="*/ 692632 w 3896707"/>
                        <a:gd name="csY21" fmla="*/ 2605367 h 2605367"/>
                        <a:gd name="csX22" fmla="*/ 86055 w 3896707"/>
                        <a:gd name="csY22" fmla="*/ 2605367 h 2605367"/>
                        <a:gd name="csX23" fmla="*/ 0 w 3896707"/>
                        <a:gd name="csY23" fmla="*/ 2519312 h 2605367"/>
                        <a:gd name="csX24" fmla="*/ 0 w 3896707"/>
                        <a:gd name="csY24" fmla="*/ 1983995 h 2605367"/>
                        <a:gd name="csX25" fmla="*/ 0 w 3896707"/>
                        <a:gd name="csY25" fmla="*/ 1570342 h 2605367"/>
                        <a:gd name="csX26" fmla="*/ 0 w 3896707"/>
                        <a:gd name="csY26" fmla="*/ 1132356 h 2605367"/>
                        <a:gd name="csX27" fmla="*/ 0 w 3896707"/>
                        <a:gd name="csY27" fmla="*/ 597039 h 2605367"/>
                        <a:gd name="csX28" fmla="*/ 0 w 3896707"/>
                        <a:gd name="csY28" fmla="*/ 86055 h 260536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Lst>
                      <a:rect l="l" t="t" r="r" b="b"/>
                      <a:pathLst>
                        <a:path w="3896707" h="2605367" fill="none" extrusionOk="0">
                          <a:moveTo>
                            <a:pt x="0" y="86055"/>
                          </a:moveTo>
                          <a:cubicBezTo>
                            <a:pt x="-5262" y="40399"/>
                            <a:pt x="41528" y="5572"/>
                            <a:pt x="86055" y="0"/>
                          </a:cubicBezTo>
                          <a:cubicBezTo>
                            <a:pt x="293621" y="-41176"/>
                            <a:pt x="407259" y="24400"/>
                            <a:pt x="506402" y="0"/>
                          </a:cubicBezTo>
                          <a:cubicBezTo>
                            <a:pt x="605545" y="-24400"/>
                            <a:pt x="878317" y="47041"/>
                            <a:pt x="1075734" y="0"/>
                          </a:cubicBezTo>
                          <a:cubicBezTo>
                            <a:pt x="1273151" y="-47041"/>
                            <a:pt x="1339816" y="23477"/>
                            <a:pt x="1570573" y="0"/>
                          </a:cubicBezTo>
                          <a:cubicBezTo>
                            <a:pt x="1801330" y="-23477"/>
                            <a:pt x="1875472" y="25955"/>
                            <a:pt x="2102658" y="0"/>
                          </a:cubicBezTo>
                          <a:cubicBezTo>
                            <a:pt x="2329844" y="-25955"/>
                            <a:pt x="2522380" y="41850"/>
                            <a:pt x="2634744" y="0"/>
                          </a:cubicBezTo>
                          <a:cubicBezTo>
                            <a:pt x="2747108" y="-41850"/>
                            <a:pt x="2946068" y="16951"/>
                            <a:pt x="3241321" y="0"/>
                          </a:cubicBezTo>
                          <a:cubicBezTo>
                            <a:pt x="3536574" y="-16951"/>
                            <a:pt x="3598770" y="56364"/>
                            <a:pt x="3810652" y="0"/>
                          </a:cubicBezTo>
                          <a:cubicBezTo>
                            <a:pt x="3855903" y="540"/>
                            <a:pt x="3905149" y="46756"/>
                            <a:pt x="3896707" y="86055"/>
                          </a:cubicBezTo>
                          <a:cubicBezTo>
                            <a:pt x="3908477" y="240526"/>
                            <a:pt x="3874535" y="503134"/>
                            <a:pt x="3896707" y="621372"/>
                          </a:cubicBezTo>
                          <a:cubicBezTo>
                            <a:pt x="3918879" y="739610"/>
                            <a:pt x="3882572" y="843109"/>
                            <a:pt x="3896707" y="1059358"/>
                          </a:cubicBezTo>
                          <a:cubicBezTo>
                            <a:pt x="3910842" y="1275607"/>
                            <a:pt x="3885196" y="1293971"/>
                            <a:pt x="3896707" y="1521677"/>
                          </a:cubicBezTo>
                          <a:cubicBezTo>
                            <a:pt x="3908218" y="1749383"/>
                            <a:pt x="3874513" y="1910886"/>
                            <a:pt x="3896707" y="2056993"/>
                          </a:cubicBezTo>
                          <a:cubicBezTo>
                            <a:pt x="3918901" y="2203100"/>
                            <a:pt x="3861977" y="2337637"/>
                            <a:pt x="3896707" y="2519312"/>
                          </a:cubicBezTo>
                          <a:cubicBezTo>
                            <a:pt x="3885248" y="2572645"/>
                            <a:pt x="3870582" y="2599676"/>
                            <a:pt x="3810652" y="2605367"/>
                          </a:cubicBezTo>
                          <a:cubicBezTo>
                            <a:pt x="3664007" y="2608937"/>
                            <a:pt x="3508136" y="2555489"/>
                            <a:pt x="3278567" y="2605367"/>
                          </a:cubicBezTo>
                          <a:cubicBezTo>
                            <a:pt x="3048998" y="2655245"/>
                            <a:pt x="3003030" y="2593377"/>
                            <a:pt x="2746481" y="2605367"/>
                          </a:cubicBezTo>
                          <a:cubicBezTo>
                            <a:pt x="2489932" y="2617357"/>
                            <a:pt x="2429083" y="2576787"/>
                            <a:pt x="2251642" y="2605367"/>
                          </a:cubicBezTo>
                          <a:cubicBezTo>
                            <a:pt x="2074201" y="2633947"/>
                            <a:pt x="1860711" y="2555108"/>
                            <a:pt x="1756803" y="2605367"/>
                          </a:cubicBezTo>
                          <a:cubicBezTo>
                            <a:pt x="1652895" y="2655626"/>
                            <a:pt x="1478732" y="2603606"/>
                            <a:pt x="1224718" y="2605367"/>
                          </a:cubicBezTo>
                          <a:cubicBezTo>
                            <a:pt x="970705" y="2607128"/>
                            <a:pt x="875946" y="2570756"/>
                            <a:pt x="692632" y="2605367"/>
                          </a:cubicBezTo>
                          <a:cubicBezTo>
                            <a:pt x="509318" y="2639978"/>
                            <a:pt x="302246" y="2552200"/>
                            <a:pt x="86055" y="2605367"/>
                          </a:cubicBezTo>
                          <a:cubicBezTo>
                            <a:pt x="46758" y="2608488"/>
                            <a:pt x="10101" y="2571454"/>
                            <a:pt x="0" y="2519312"/>
                          </a:cubicBezTo>
                          <a:cubicBezTo>
                            <a:pt x="-1712" y="2255362"/>
                            <a:pt x="5793" y="2246026"/>
                            <a:pt x="0" y="1983995"/>
                          </a:cubicBezTo>
                          <a:cubicBezTo>
                            <a:pt x="-5793" y="1721964"/>
                            <a:pt x="39070" y="1698696"/>
                            <a:pt x="0" y="1570342"/>
                          </a:cubicBezTo>
                          <a:cubicBezTo>
                            <a:pt x="-39070" y="1441988"/>
                            <a:pt x="31015" y="1242007"/>
                            <a:pt x="0" y="1132356"/>
                          </a:cubicBezTo>
                          <a:cubicBezTo>
                            <a:pt x="-31015" y="1022705"/>
                            <a:pt x="9632" y="738846"/>
                            <a:pt x="0" y="597039"/>
                          </a:cubicBezTo>
                          <a:cubicBezTo>
                            <a:pt x="-9632" y="455232"/>
                            <a:pt x="23287" y="195826"/>
                            <a:pt x="0" y="86055"/>
                          </a:cubicBezTo>
                          <a:close/>
                        </a:path>
                        <a:path w="3896707" h="2605367" stroke="0" extrusionOk="0">
                          <a:moveTo>
                            <a:pt x="0" y="86055"/>
                          </a:moveTo>
                          <a:cubicBezTo>
                            <a:pt x="10580" y="42966"/>
                            <a:pt x="38454" y="-1495"/>
                            <a:pt x="86055" y="0"/>
                          </a:cubicBezTo>
                          <a:cubicBezTo>
                            <a:pt x="309853" y="-26791"/>
                            <a:pt x="466319" y="19981"/>
                            <a:pt x="655386" y="0"/>
                          </a:cubicBezTo>
                          <a:cubicBezTo>
                            <a:pt x="844453" y="-19981"/>
                            <a:pt x="1018952" y="43285"/>
                            <a:pt x="1112980" y="0"/>
                          </a:cubicBezTo>
                          <a:cubicBezTo>
                            <a:pt x="1207008" y="-43285"/>
                            <a:pt x="1448686" y="29971"/>
                            <a:pt x="1719557" y="0"/>
                          </a:cubicBezTo>
                          <a:cubicBezTo>
                            <a:pt x="1990428" y="-29971"/>
                            <a:pt x="2100414" y="56600"/>
                            <a:pt x="2288888" y="0"/>
                          </a:cubicBezTo>
                          <a:cubicBezTo>
                            <a:pt x="2477362" y="-56600"/>
                            <a:pt x="2532257" y="46534"/>
                            <a:pt x="2746481" y="0"/>
                          </a:cubicBezTo>
                          <a:cubicBezTo>
                            <a:pt x="2960705" y="-46534"/>
                            <a:pt x="3032938" y="37495"/>
                            <a:pt x="3204075" y="0"/>
                          </a:cubicBezTo>
                          <a:cubicBezTo>
                            <a:pt x="3375212" y="-37495"/>
                            <a:pt x="3525935" y="71045"/>
                            <a:pt x="3810652" y="0"/>
                          </a:cubicBezTo>
                          <a:cubicBezTo>
                            <a:pt x="3852322" y="-3740"/>
                            <a:pt x="3901361" y="41608"/>
                            <a:pt x="3896707" y="86055"/>
                          </a:cubicBezTo>
                          <a:cubicBezTo>
                            <a:pt x="3937233" y="318692"/>
                            <a:pt x="3883045" y="351215"/>
                            <a:pt x="3896707" y="597039"/>
                          </a:cubicBezTo>
                          <a:cubicBezTo>
                            <a:pt x="3910369" y="842863"/>
                            <a:pt x="3891216" y="997120"/>
                            <a:pt x="3896707" y="1108023"/>
                          </a:cubicBezTo>
                          <a:cubicBezTo>
                            <a:pt x="3902198" y="1218926"/>
                            <a:pt x="3874447" y="1423533"/>
                            <a:pt x="3896707" y="1521677"/>
                          </a:cubicBezTo>
                          <a:cubicBezTo>
                            <a:pt x="3918967" y="1619821"/>
                            <a:pt x="3849877" y="1828131"/>
                            <a:pt x="3896707" y="1935330"/>
                          </a:cubicBezTo>
                          <a:cubicBezTo>
                            <a:pt x="3943537" y="2042529"/>
                            <a:pt x="3841629" y="2236658"/>
                            <a:pt x="3896707" y="2519312"/>
                          </a:cubicBezTo>
                          <a:cubicBezTo>
                            <a:pt x="3890955" y="2567785"/>
                            <a:pt x="3863194" y="2618028"/>
                            <a:pt x="3810652" y="2605367"/>
                          </a:cubicBezTo>
                          <a:cubicBezTo>
                            <a:pt x="3682382" y="2660315"/>
                            <a:pt x="3442559" y="2539118"/>
                            <a:pt x="3204075" y="2605367"/>
                          </a:cubicBezTo>
                          <a:cubicBezTo>
                            <a:pt x="2965591" y="2671616"/>
                            <a:pt x="2844555" y="2570998"/>
                            <a:pt x="2634744" y="2605367"/>
                          </a:cubicBezTo>
                          <a:cubicBezTo>
                            <a:pt x="2424933" y="2639736"/>
                            <a:pt x="2232167" y="2585096"/>
                            <a:pt x="2102658" y="2605367"/>
                          </a:cubicBezTo>
                          <a:cubicBezTo>
                            <a:pt x="1973149" y="2625638"/>
                            <a:pt x="1817577" y="2552009"/>
                            <a:pt x="1645065" y="2605367"/>
                          </a:cubicBezTo>
                          <a:cubicBezTo>
                            <a:pt x="1472553" y="2658725"/>
                            <a:pt x="1404006" y="2562514"/>
                            <a:pt x="1224718" y="2605367"/>
                          </a:cubicBezTo>
                          <a:cubicBezTo>
                            <a:pt x="1045430" y="2648220"/>
                            <a:pt x="915839" y="2582841"/>
                            <a:pt x="655386" y="2605367"/>
                          </a:cubicBezTo>
                          <a:cubicBezTo>
                            <a:pt x="394933" y="2627893"/>
                            <a:pt x="302090" y="2588197"/>
                            <a:pt x="86055" y="2605367"/>
                          </a:cubicBezTo>
                          <a:cubicBezTo>
                            <a:pt x="25899" y="2602846"/>
                            <a:pt x="5957" y="2570015"/>
                            <a:pt x="0" y="2519312"/>
                          </a:cubicBezTo>
                          <a:cubicBezTo>
                            <a:pt x="-4747" y="2303488"/>
                            <a:pt x="11869" y="2213834"/>
                            <a:pt x="0" y="2081326"/>
                          </a:cubicBezTo>
                          <a:cubicBezTo>
                            <a:pt x="-11869" y="1948818"/>
                            <a:pt x="2606" y="1657519"/>
                            <a:pt x="0" y="1546009"/>
                          </a:cubicBezTo>
                          <a:cubicBezTo>
                            <a:pt x="-2606" y="1434499"/>
                            <a:pt x="36592" y="1192831"/>
                            <a:pt x="0" y="1035025"/>
                          </a:cubicBezTo>
                          <a:cubicBezTo>
                            <a:pt x="-36592" y="877219"/>
                            <a:pt x="41855" y="686380"/>
                            <a:pt x="0" y="597039"/>
                          </a:cubicBezTo>
                          <a:cubicBezTo>
                            <a:pt x="-41855" y="507698"/>
                            <a:pt x="30079" y="282799"/>
                            <a:pt x="0" y="86055"/>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grpFill/>
            <a:ln w="12700" cap="flat" cmpd="sng">
              <a:solidFill>
                <a:srgbClr val="7F7F7F"/>
              </a:solidFill>
              <a:prstDash val="dash"/>
              <a:miter lim="800000"/>
              <a:headEnd type="diamond"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chemeClr val="bg2">
                <a:lumMod val="95000"/>
              </a:schemeClr>
            </a:solidFill>
            <a:ln w="12700" cap="flat" cmpd="sng">
              <a:solidFill>
                <a:schemeClr val="tx1"/>
              </a:solidFill>
              <a:prstDash val="dash"/>
              <a:miter lim="800000"/>
              <a:headEnd type="diamond" w="sm" len="sm"/>
              <a:tailEnd type="none" w="sm" len="sm"/>
              <a:extLst>
                <a:ext uri="{C807C97D-BFC1-408E-A445-0C87EB9F89A2}">
                  <ask:lineSketchStyleProps xmlns:ask="http://schemas.microsoft.com/office/drawing/2018/sketchyshapes" sd="472673749">
                    <a:custGeom>
                      <a:avLst/>
                      <a:gdLst>
                        <a:gd name="csX0" fmla="*/ 0 w 3109494"/>
                        <a:gd name="csY0" fmla="*/ 85753 h 2596224"/>
                        <a:gd name="csX1" fmla="*/ 85753 w 3109494"/>
                        <a:gd name="csY1" fmla="*/ 0 h 2596224"/>
                        <a:gd name="csX2" fmla="*/ 702730 w 3109494"/>
                        <a:gd name="csY2" fmla="*/ 0 h 2596224"/>
                        <a:gd name="csX3" fmla="*/ 1202188 w 3109494"/>
                        <a:gd name="csY3" fmla="*/ 0 h 2596224"/>
                        <a:gd name="csX4" fmla="*/ 1701646 w 3109494"/>
                        <a:gd name="csY4" fmla="*/ 0 h 2596224"/>
                        <a:gd name="csX5" fmla="*/ 2318624 w 3109494"/>
                        <a:gd name="csY5" fmla="*/ 0 h 2596224"/>
                        <a:gd name="csX6" fmla="*/ 3023741 w 3109494"/>
                        <a:gd name="csY6" fmla="*/ 0 h 2596224"/>
                        <a:gd name="csX7" fmla="*/ 3109494 w 3109494"/>
                        <a:gd name="csY7" fmla="*/ 85753 h 2596224"/>
                        <a:gd name="csX8" fmla="*/ 3109494 w 3109494"/>
                        <a:gd name="csY8" fmla="*/ 619191 h 2596224"/>
                        <a:gd name="csX9" fmla="*/ 3109494 w 3109494"/>
                        <a:gd name="csY9" fmla="*/ 1079887 h 2596224"/>
                        <a:gd name="csX10" fmla="*/ 3109494 w 3109494"/>
                        <a:gd name="csY10" fmla="*/ 1492089 h 2596224"/>
                        <a:gd name="csX11" fmla="*/ 3109494 w 3109494"/>
                        <a:gd name="csY11" fmla="*/ 2025527 h 2596224"/>
                        <a:gd name="csX12" fmla="*/ 3109494 w 3109494"/>
                        <a:gd name="csY12" fmla="*/ 2510471 h 2596224"/>
                        <a:gd name="csX13" fmla="*/ 3023741 w 3109494"/>
                        <a:gd name="csY13" fmla="*/ 2596224 h 2596224"/>
                        <a:gd name="csX14" fmla="*/ 2494903 w 3109494"/>
                        <a:gd name="csY14" fmla="*/ 2596224 h 2596224"/>
                        <a:gd name="csX15" fmla="*/ 1877926 w 3109494"/>
                        <a:gd name="csY15" fmla="*/ 2596224 h 2596224"/>
                        <a:gd name="csX16" fmla="*/ 1260948 w 3109494"/>
                        <a:gd name="csY16" fmla="*/ 2596224 h 2596224"/>
                        <a:gd name="csX17" fmla="*/ 761490 w 3109494"/>
                        <a:gd name="csY17" fmla="*/ 2596224 h 2596224"/>
                        <a:gd name="csX18" fmla="*/ 85753 w 3109494"/>
                        <a:gd name="csY18" fmla="*/ 2596224 h 2596224"/>
                        <a:gd name="csX19" fmla="*/ 0 w 3109494"/>
                        <a:gd name="csY19" fmla="*/ 2510471 h 2596224"/>
                        <a:gd name="csX20" fmla="*/ 0 w 3109494"/>
                        <a:gd name="csY20" fmla="*/ 2049775 h 2596224"/>
                        <a:gd name="csX21" fmla="*/ 0 w 3109494"/>
                        <a:gd name="csY21" fmla="*/ 1516337 h 2596224"/>
                        <a:gd name="csX22" fmla="*/ 0 w 3109494"/>
                        <a:gd name="csY22" fmla="*/ 1079887 h 2596224"/>
                        <a:gd name="csX23" fmla="*/ 0 w 3109494"/>
                        <a:gd name="csY23" fmla="*/ 667685 h 2596224"/>
                        <a:gd name="csX24" fmla="*/ 0 w 3109494"/>
                        <a:gd name="csY24" fmla="*/ 85753 h 25962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Lst>
                      <a:rect l="l" t="t" r="r" b="b"/>
                      <a:pathLst>
                        <a:path w="3109494" h="2596224" fill="none" extrusionOk="0">
                          <a:moveTo>
                            <a:pt x="0" y="85753"/>
                          </a:moveTo>
                          <a:cubicBezTo>
                            <a:pt x="-11554" y="41585"/>
                            <a:pt x="35474" y="-3947"/>
                            <a:pt x="85753" y="0"/>
                          </a:cubicBezTo>
                          <a:cubicBezTo>
                            <a:pt x="322363" y="-56541"/>
                            <a:pt x="447555" y="1100"/>
                            <a:pt x="702730" y="0"/>
                          </a:cubicBezTo>
                          <a:cubicBezTo>
                            <a:pt x="957905" y="-1100"/>
                            <a:pt x="1043541" y="18837"/>
                            <a:pt x="1202188" y="0"/>
                          </a:cubicBezTo>
                          <a:cubicBezTo>
                            <a:pt x="1360835" y="-18837"/>
                            <a:pt x="1596214" y="44769"/>
                            <a:pt x="1701646" y="0"/>
                          </a:cubicBezTo>
                          <a:cubicBezTo>
                            <a:pt x="1807078" y="-44769"/>
                            <a:pt x="2159963" y="37879"/>
                            <a:pt x="2318624" y="0"/>
                          </a:cubicBezTo>
                          <a:cubicBezTo>
                            <a:pt x="2477285" y="-37879"/>
                            <a:pt x="2874338" y="48702"/>
                            <a:pt x="3023741" y="0"/>
                          </a:cubicBezTo>
                          <a:cubicBezTo>
                            <a:pt x="3082055" y="555"/>
                            <a:pt x="3109715" y="37387"/>
                            <a:pt x="3109494" y="85753"/>
                          </a:cubicBezTo>
                          <a:cubicBezTo>
                            <a:pt x="3156787" y="286367"/>
                            <a:pt x="3049697" y="430454"/>
                            <a:pt x="3109494" y="619191"/>
                          </a:cubicBezTo>
                          <a:cubicBezTo>
                            <a:pt x="3169291" y="807928"/>
                            <a:pt x="3094357" y="895657"/>
                            <a:pt x="3109494" y="1079887"/>
                          </a:cubicBezTo>
                          <a:cubicBezTo>
                            <a:pt x="3124631" y="1264117"/>
                            <a:pt x="3068734" y="1302868"/>
                            <a:pt x="3109494" y="1492089"/>
                          </a:cubicBezTo>
                          <a:cubicBezTo>
                            <a:pt x="3150254" y="1681310"/>
                            <a:pt x="3095665" y="1894812"/>
                            <a:pt x="3109494" y="2025527"/>
                          </a:cubicBezTo>
                          <a:cubicBezTo>
                            <a:pt x="3123323" y="2156242"/>
                            <a:pt x="3077938" y="2395462"/>
                            <a:pt x="3109494" y="2510471"/>
                          </a:cubicBezTo>
                          <a:cubicBezTo>
                            <a:pt x="3100392" y="2560121"/>
                            <a:pt x="3070317" y="2598300"/>
                            <a:pt x="3023741" y="2596224"/>
                          </a:cubicBezTo>
                          <a:cubicBezTo>
                            <a:pt x="2772226" y="2646538"/>
                            <a:pt x="2728463" y="2556530"/>
                            <a:pt x="2494903" y="2596224"/>
                          </a:cubicBezTo>
                          <a:cubicBezTo>
                            <a:pt x="2261343" y="2635918"/>
                            <a:pt x="2032301" y="2582616"/>
                            <a:pt x="1877926" y="2596224"/>
                          </a:cubicBezTo>
                          <a:cubicBezTo>
                            <a:pt x="1723551" y="2609832"/>
                            <a:pt x="1485055" y="2544864"/>
                            <a:pt x="1260948" y="2596224"/>
                          </a:cubicBezTo>
                          <a:cubicBezTo>
                            <a:pt x="1036841" y="2647584"/>
                            <a:pt x="962223" y="2554742"/>
                            <a:pt x="761490" y="2596224"/>
                          </a:cubicBezTo>
                          <a:cubicBezTo>
                            <a:pt x="560757" y="2637706"/>
                            <a:pt x="241203" y="2527103"/>
                            <a:pt x="85753" y="2596224"/>
                          </a:cubicBezTo>
                          <a:cubicBezTo>
                            <a:pt x="36292" y="2608439"/>
                            <a:pt x="1841" y="2566027"/>
                            <a:pt x="0" y="2510471"/>
                          </a:cubicBezTo>
                          <a:cubicBezTo>
                            <a:pt x="-19319" y="2307020"/>
                            <a:pt x="20276" y="2203698"/>
                            <a:pt x="0" y="2049775"/>
                          </a:cubicBezTo>
                          <a:cubicBezTo>
                            <a:pt x="-20276" y="1895852"/>
                            <a:pt x="31395" y="1771141"/>
                            <a:pt x="0" y="1516337"/>
                          </a:cubicBezTo>
                          <a:cubicBezTo>
                            <a:pt x="-31395" y="1261533"/>
                            <a:pt x="13305" y="1175336"/>
                            <a:pt x="0" y="1079887"/>
                          </a:cubicBezTo>
                          <a:cubicBezTo>
                            <a:pt x="-13305" y="984438"/>
                            <a:pt x="44939" y="852653"/>
                            <a:pt x="0" y="667685"/>
                          </a:cubicBezTo>
                          <a:cubicBezTo>
                            <a:pt x="-44939" y="482717"/>
                            <a:pt x="9498" y="296685"/>
                            <a:pt x="0" y="85753"/>
                          </a:cubicBezTo>
                          <a:close/>
                        </a:path>
                        <a:path w="3109494" h="2596224" stroke="0" extrusionOk="0">
                          <a:moveTo>
                            <a:pt x="0" y="85753"/>
                          </a:moveTo>
                          <a:cubicBezTo>
                            <a:pt x="9243" y="40494"/>
                            <a:pt x="37339" y="64"/>
                            <a:pt x="85753" y="0"/>
                          </a:cubicBezTo>
                          <a:cubicBezTo>
                            <a:pt x="335883" y="-66208"/>
                            <a:pt x="556760" y="2653"/>
                            <a:pt x="702730" y="0"/>
                          </a:cubicBezTo>
                          <a:cubicBezTo>
                            <a:pt x="848700" y="-2653"/>
                            <a:pt x="1035467" y="47745"/>
                            <a:pt x="1231568" y="0"/>
                          </a:cubicBezTo>
                          <a:cubicBezTo>
                            <a:pt x="1427669" y="-47745"/>
                            <a:pt x="1591756" y="45445"/>
                            <a:pt x="1731026" y="0"/>
                          </a:cubicBezTo>
                          <a:cubicBezTo>
                            <a:pt x="1870296" y="-45445"/>
                            <a:pt x="2081544" y="58551"/>
                            <a:pt x="2348004" y="0"/>
                          </a:cubicBezTo>
                          <a:cubicBezTo>
                            <a:pt x="2614464" y="-58551"/>
                            <a:pt x="2781804" y="19540"/>
                            <a:pt x="3023741" y="0"/>
                          </a:cubicBezTo>
                          <a:cubicBezTo>
                            <a:pt x="3070791" y="-2935"/>
                            <a:pt x="3118734" y="38786"/>
                            <a:pt x="3109494" y="85753"/>
                          </a:cubicBezTo>
                          <a:cubicBezTo>
                            <a:pt x="3118917" y="192152"/>
                            <a:pt x="3063677" y="307895"/>
                            <a:pt x="3109494" y="522202"/>
                          </a:cubicBezTo>
                          <a:cubicBezTo>
                            <a:pt x="3155311" y="736509"/>
                            <a:pt x="3054819" y="936130"/>
                            <a:pt x="3109494" y="1055640"/>
                          </a:cubicBezTo>
                          <a:cubicBezTo>
                            <a:pt x="3164169" y="1175150"/>
                            <a:pt x="3070929" y="1321390"/>
                            <a:pt x="3109494" y="1516337"/>
                          </a:cubicBezTo>
                          <a:cubicBezTo>
                            <a:pt x="3148059" y="1711284"/>
                            <a:pt x="3067091" y="1776089"/>
                            <a:pt x="3109494" y="1928539"/>
                          </a:cubicBezTo>
                          <a:cubicBezTo>
                            <a:pt x="3151897" y="2080989"/>
                            <a:pt x="3103634" y="2235413"/>
                            <a:pt x="3109494" y="2510471"/>
                          </a:cubicBezTo>
                          <a:cubicBezTo>
                            <a:pt x="3108513" y="2555884"/>
                            <a:pt x="3073306" y="2592190"/>
                            <a:pt x="3023741" y="2596224"/>
                          </a:cubicBezTo>
                          <a:cubicBezTo>
                            <a:pt x="2747033" y="2613788"/>
                            <a:pt x="2572472" y="2582022"/>
                            <a:pt x="2406764" y="2596224"/>
                          </a:cubicBezTo>
                          <a:cubicBezTo>
                            <a:pt x="2241056" y="2610426"/>
                            <a:pt x="2069666" y="2594142"/>
                            <a:pt x="1760406" y="2596224"/>
                          </a:cubicBezTo>
                          <a:cubicBezTo>
                            <a:pt x="1451146" y="2598306"/>
                            <a:pt x="1447353" y="2536807"/>
                            <a:pt x="1202188" y="2596224"/>
                          </a:cubicBezTo>
                          <a:cubicBezTo>
                            <a:pt x="957023" y="2655641"/>
                            <a:pt x="540949" y="2579550"/>
                            <a:pt x="85753" y="2596224"/>
                          </a:cubicBezTo>
                          <a:cubicBezTo>
                            <a:pt x="31098" y="2598126"/>
                            <a:pt x="6719" y="2562215"/>
                            <a:pt x="0" y="2510471"/>
                          </a:cubicBezTo>
                          <a:cubicBezTo>
                            <a:pt x="-52071" y="2287313"/>
                            <a:pt x="16540" y="2113390"/>
                            <a:pt x="0" y="2001280"/>
                          </a:cubicBezTo>
                          <a:cubicBezTo>
                            <a:pt x="-16540" y="1889170"/>
                            <a:pt x="26997" y="1661806"/>
                            <a:pt x="0" y="1467842"/>
                          </a:cubicBezTo>
                          <a:cubicBezTo>
                            <a:pt x="-26997" y="1273878"/>
                            <a:pt x="40782" y="1207446"/>
                            <a:pt x="0" y="982899"/>
                          </a:cubicBezTo>
                          <a:cubicBezTo>
                            <a:pt x="-40782" y="758352"/>
                            <a:pt x="35989" y="659750"/>
                            <a:pt x="0" y="522202"/>
                          </a:cubicBezTo>
                          <a:cubicBezTo>
                            <a:pt x="-35989" y="384654"/>
                            <a:pt x="35177" y="195443"/>
                            <a:pt x="0" y="85753"/>
                          </a:cubicBezTo>
                          <a:close/>
                        </a:path>
                      </a:pathLst>
                    </a:custGeom>
                    <ask:type>
                      <ask:lineSketchNone/>
                    </ask:type>
                  </ask:lineSketchStyleProps>
                </a:ext>
              </a:extLst>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grpFill/>
            <a:ln w="12700" cap="flat" cmpd="sng">
              <a:solidFill>
                <a:srgbClr val="7F7F7F"/>
              </a:solidFill>
              <a:prstDash val="dash"/>
              <a:miter lim="800000"/>
              <a:headEnd type="diamond" w="sm" len="sm"/>
              <a:tailEnd type="none" w="sm" len="sm"/>
            </a:ln>
          </xdr:spPr>
        </xdr:cxnSp>
      </xdr:grpSp>
      <xdr:sp macro="" textlink="">
        <xdr:nvSpPr>
          <xdr:cNvPr id="29" name="TextBox 28">
            <a:extLst>
              <a:ext uri="{FF2B5EF4-FFF2-40B4-BE49-F238E27FC236}">
                <a16:creationId xmlns:a16="http://schemas.microsoft.com/office/drawing/2014/main" id="{88A23F6E-BA52-55EF-BC44-16776DFEB261}"/>
              </a:ext>
            </a:extLst>
          </xdr:cNvPr>
          <xdr:cNvSpPr txBox="1"/>
        </xdr:nvSpPr>
        <xdr:spPr>
          <a:xfrm>
            <a:off x="1944805" y="1421641"/>
            <a:ext cx="2092657" cy="284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FF0000"/>
                </a:solidFill>
                <a:latin typeface="Berlin Sans FB" panose="020E0602020502020306" pitchFamily="34" charset="0"/>
                <a:cs typeface="Arial" panose="020B0604020202020204" pitchFamily="34" charset="0"/>
              </a:rPr>
              <a:t>TOTAL</a:t>
            </a:r>
            <a:r>
              <a:rPr lang="en-IN" sz="1600" b="0" baseline="0">
                <a:solidFill>
                  <a:srgbClr val="FF0000"/>
                </a:solidFill>
                <a:latin typeface="Berlin Sans FB" panose="020E0602020502020306" pitchFamily="34" charset="0"/>
                <a:cs typeface="Arial" panose="020B0604020202020204" pitchFamily="34" charset="0"/>
              </a:rPr>
              <a:t> EMPLOYEES</a:t>
            </a:r>
            <a:endParaRPr lang="en-IN" sz="1600" b="0">
              <a:solidFill>
                <a:srgbClr val="FF0000"/>
              </a:solidFill>
              <a:latin typeface="Berlin Sans FB" panose="020E0602020502020306" pitchFamily="34" charset="0"/>
              <a:cs typeface="Arial" panose="020B0604020202020204" pitchFamily="34" charset="0"/>
            </a:endParaRPr>
          </a:p>
        </xdr:txBody>
      </xdr:sp>
      <xdr:sp macro="" textlink="KPI!A7">
        <xdr:nvSpPr>
          <xdr:cNvPr id="30" name="TextBox 29">
            <a:extLst>
              <a:ext uri="{FF2B5EF4-FFF2-40B4-BE49-F238E27FC236}">
                <a16:creationId xmlns:a16="http://schemas.microsoft.com/office/drawing/2014/main" id="{0893E177-3561-780A-699F-5D149034B996}"/>
              </a:ext>
            </a:extLst>
          </xdr:cNvPr>
          <xdr:cNvSpPr txBox="1"/>
        </xdr:nvSpPr>
        <xdr:spPr>
          <a:xfrm>
            <a:off x="2558956" y="1671852"/>
            <a:ext cx="2047164"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8BA2A8-0446-495C-9FB0-A65BB4C8D22A}" type="TxLink">
              <a:rPr lang="en-US" sz="2800" b="0" i="0" u="none" strike="noStrike" cap="none" spc="0">
                <a:ln w="0"/>
                <a:solidFill>
                  <a:schemeClr val="tx1"/>
                </a:solidFill>
                <a:effectLst>
                  <a:outerShdw blurRad="38100" dist="19050" dir="2700000" algn="tl" rotWithShape="0">
                    <a:schemeClr val="dk1">
                      <a:alpha val="40000"/>
                    </a:schemeClr>
                  </a:outerShdw>
                </a:effectLst>
                <a:latin typeface="Berlin Sans FB" panose="020E0602020502020306" pitchFamily="34" charset="0"/>
                <a:ea typeface="Calibri"/>
                <a:cs typeface="Calibri"/>
              </a:rPr>
              <a:pPr/>
              <a:t>1470</a:t>
            </a:fld>
            <a:endParaRPr lang="en-IN" sz="2800">
              <a:latin typeface="Berlin Sans FB" panose="020E0602020502020306" pitchFamily="34" charset="0"/>
            </a:endParaRPr>
          </a:p>
        </xdr:txBody>
      </xdr:sp>
      <xdr:sp macro="" textlink="KPI!B7">
        <xdr:nvSpPr>
          <xdr:cNvPr id="31" name="TextBox 30">
            <a:extLst>
              <a:ext uri="{FF2B5EF4-FFF2-40B4-BE49-F238E27FC236}">
                <a16:creationId xmlns:a16="http://schemas.microsoft.com/office/drawing/2014/main" id="{87C4CDF4-2C53-4736-AA05-6DD37EFE933A}"/>
              </a:ext>
            </a:extLst>
          </xdr:cNvPr>
          <xdr:cNvSpPr txBox="1"/>
        </xdr:nvSpPr>
        <xdr:spPr>
          <a:xfrm>
            <a:off x="5656997" y="1653655"/>
            <a:ext cx="2047164"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3B52EE-6759-4737-9051-AD6C59B64D7D}" type="TxLink">
              <a:rPr lang="en-US" sz="2800" b="0" i="0" u="none" strike="noStrike">
                <a:solidFill>
                  <a:srgbClr val="000000"/>
                </a:solidFill>
                <a:latin typeface="Berlin Sans FB" panose="020E0602020502020306" pitchFamily="34" charset="0"/>
                <a:ea typeface="Calibri"/>
                <a:cs typeface="Calibri"/>
              </a:rPr>
              <a:pPr/>
              <a:t>237</a:t>
            </a:fld>
            <a:endParaRPr lang="en-US" sz="2800">
              <a:latin typeface="Berlin Sans FB" panose="020E0602020502020306" pitchFamily="34" charset="0"/>
            </a:endParaRPr>
          </a:p>
        </xdr:txBody>
      </xdr:sp>
      <xdr:sp macro="" textlink="">
        <xdr:nvSpPr>
          <xdr:cNvPr id="34" name="TextBox 33">
            <a:extLst>
              <a:ext uri="{FF2B5EF4-FFF2-40B4-BE49-F238E27FC236}">
                <a16:creationId xmlns:a16="http://schemas.microsoft.com/office/drawing/2014/main" id="{86E80695-4B14-4760-B578-9804D733D050}"/>
              </a:ext>
            </a:extLst>
          </xdr:cNvPr>
          <xdr:cNvSpPr txBox="1"/>
        </xdr:nvSpPr>
        <xdr:spPr>
          <a:xfrm>
            <a:off x="5395414" y="1414817"/>
            <a:ext cx="2092657" cy="284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FF0000"/>
                </a:solidFill>
                <a:latin typeface="Berlin Sans FB" panose="020E0602020502020306" pitchFamily="34" charset="0"/>
                <a:cs typeface="Arial" panose="020B0604020202020204" pitchFamily="34" charset="0"/>
              </a:rPr>
              <a:t>ATTRITION</a:t>
            </a:r>
          </a:p>
        </xdr:txBody>
      </xdr:sp>
      <xdr:sp macro="" textlink="">
        <xdr:nvSpPr>
          <xdr:cNvPr id="35" name="TextBox 34">
            <a:extLst>
              <a:ext uri="{FF2B5EF4-FFF2-40B4-BE49-F238E27FC236}">
                <a16:creationId xmlns:a16="http://schemas.microsoft.com/office/drawing/2014/main" id="{748D9388-B300-4B2E-AFE9-3926BBB4C3BF}"/>
              </a:ext>
            </a:extLst>
          </xdr:cNvPr>
          <xdr:cNvSpPr txBox="1"/>
        </xdr:nvSpPr>
        <xdr:spPr>
          <a:xfrm>
            <a:off x="13918441" y="1385247"/>
            <a:ext cx="2092657" cy="284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FF0000"/>
                </a:solidFill>
                <a:latin typeface="Berlin Sans FB" panose="020E0602020502020306" pitchFamily="34" charset="0"/>
                <a:cs typeface="Arial" panose="020B0604020202020204" pitchFamily="34" charset="0"/>
              </a:rPr>
              <a:t>AVERAGE</a:t>
            </a:r>
            <a:r>
              <a:rPr lang="en-IN" sz="1600" b="0" baseline="0">
                <a:solidFill>
                  <a:srgbClr val="FF0000"/>
                </a:solidFill>
                <a:latin typeface="Berlin Sans FB" panose="020E0602020502020306" pitchFamily="34" charset="0"/>
                <a:cs typeface="Arial" panose="020B0604020202020204" pitchFamily="34" charset="0"/>
              </a:rPr>
              <a:t> AGE</a:t>
            </a:r>
            <a:endParaRPr lang="en-IN" sz="1600" b="0">
              <a:solidFill>
                <a:srgbClr val="FF0000"/>
              </a:solidFill>
              <a:latin typeface="Berlin Sans FB" panose="020E0602020502020306" pitchFamily="34" charset="0"/>
              <a:cs typeface="Arial" panose="020B0604020202020204" pitchFamily="34" charset="0"/>
            </a:endParaRPr>
          </a:p>
        </xdr:txBody>
      </xdr:sp>
      <xdr:sp macro="" textlink="KPI!C7">
        <xdr:nvSpPr>
          <xdr:cNvPr id="36" name="TextBox 35">
            <a:extLst>
              <a:ext uri="{FF2B5EF4-FFF2-40B4-BE49-F238E27FC236}">
                <a16:creationId xmlns:a16="http://schemas.microsoft.com/office/drawing/2014/main" id="{97CAD1F9-CFCD-4818-83AA-24B147BDB657}"/>
              </a:ext>
            </a:extLst>
          </xdr:cNvPr>
          <xdr:cNvSpPr txBox="1"/>
        </xdr:nvSpPr>
        <xdr:spPr>
          <a:xfrm>
            <a:off x="14475724" y="1635459"/>
            <a:ext cx="2047164"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F3D5C1-F4F3-4089-AF6E-13216DA41BE3}" type="TxLink">
              <a:rPr lang="en-US" sz="2800" b="0" i="0" u="none" strike="noStrike">
                <a:solidFill>
                  <a:srgbClr val="000000"/>
                </a:solidFill>
                <a:latin typeface="Berlin Sans FB" panose="020E0602020502020306" pitchFamily="34" charset="0"/>
                <a:ea typeface="Calibri"/>
                <a:cs typeface="Calibri"/>
              </a:rPr>
              <a:pPr/>
              <a:t>37</a:t>
            </a:fld>
            <a:endParaRPr lang="en-US" sz="2800">
              <a:latin typeface="Berlin Sans FB" panose="020E0602020502020306" pitchFamily="34" charset="0"/>
            </a:endParaRPr>
          </a:p>
        </xdr:txBody>
      </xdr:sp>
      <xdr:sp macro="" textlink="">
        <xdr:nvSpPr>
          <xdr:cNvPr id="37" name="TextBox 36">
            <a:extLst>
              <a:ext uri="{FF2B5EF4-FFF2-40B4-BE49-F238E27FC236}">
                <a16:creationId xmlns:a16="http://schemas.microsoft.com/office/drawing/2014/main" id="{22978322-AE63-42F3-8DF7-51F02406BCB5}"/>
              </a:ext>
            </a:extLst>
          </xdr:cNvPr>
          <xdr:cNvSpPr txBox="1"/>
        </xdr:nvSpPr>
        <xdr:spPr>
          <a:xfrm>
            <a:off x="7656392" y="1389796"/>
            <a:ext cx="2092657" cy="284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FF0000"/>
                </a:solidFill>
                <a:latin typeface="Berlin Sans FB" panose="020E0602020502020306" pitchFamily="34" charset="0"/>
                <a:cs typeface="Arial" panose="020B0604020202020204" pitchFamily="34" charset="0"/>
              </a:rPr>
              <a:t>ACTIVE</a:t>
            </a:r>
            <a:r>
              <a:rPr lang="en-IN" sz="1600" b="0" baseline="0">
                <a:solidFill>
                  <a:srgbClr val="FF0000"/>
                </a:solidFill>
                <a:latin typeface="Berlin Sans FB" panose="020E0602020502020306" pitchFamily="34" charset="0"/>
                <a:cs typeface="Arial" panose="020B0604020202020204" pitchFamily="34" charset="0"/>
              </a:rPr>
              <a:t> EMPLOYEES</a:t>
            </a:r>
            <a:endParaRPr lang="en-IN" sz="1600" b="0">
              <a:solidFill>
                <a:srgbClr val="FF0000"/>
              </a:solidFill>
              <a:latin typeface="Berlin Sans FB" panose="020E0602020502020306" pitchFamily="34" charset="0"/>
              <a:cs typeface="Arial" panose="020B0604020202020204" pitchFamily="34" charset="0"/>
            </a:endParaRPr>
          </a:p>
        </xdr:txBody>
      </xdr:sp>
      <xdr:sp macro="" textlink="KPI!D7">
        <xdr:nvSpPr>
          <xdr:cNvPr id="38" name="TextBox 37">
            <a:extLst>
              <a:ext uri="{FF2B5EF4-FFF2-40B4-BE49-F238E27FC236}">
                <a16:creationId xmlns:a16="http://schemas.microsoft.com/office/drawing/2014/main" id="{061B4A1A-3164-4C03-861F-322D401B67AB}"/>
              </a:ext>
            </a:extLst>
          </xdr:cNvPr>
          <xdr:cNvSpPr txBox="1"/>
        </xdr:nvSpPr>
        <xdr:spPr>
          <a:xfrm>
            <a:off x="8486632" y="1651382"/>
            <a:ext cx="2047164"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D6D729-FEEB-49FE-991C-66F10CFECA1C}" type="TxLink">
              <a:rPr lang="en-US" sz="2800" b="0" i="0" u="none" strike="noStrike">
                <a:solidFill>
                  <a:srgbClr val="000000"/>
                </a:solidFill>
                <a:latin typeface="Berlin Sans FB" panose="020E0602020502020306" pitchFamily="34" charset="0"/>
                <a:ea typeface="Calibri"/>
                <a:cs typeface="Calibri"/>
              </a:rPr>
              <a:pPr/>
              <a:t>1233</a:t>
            </a:fld>
            <a:endParaRPr lang="en-US" sz="2800">
              <a:latin typeface="Berlin Sans FB" panose="020E0602020502020306" pitchFamily="34" charset="0"/>
            </a:endParaRPr>
          </a:p>
        </xdr:txBody>
      </xdr:sp>
      <xdr:sp macro="" textlink="">
        <xdr:nvSpPr>
          <xdr:cNvPr id="39" name="TextBox 38">
            <a:extLst>
              <a:ext uri="{FF2B5EF4-FFF2-40B4-BE49-F238E27FC236}">
                <a16:creationId xmlns:a16="http://schemas.microsoft.com/office/drawing/2014/main" id="{BA305215-6A02-4601-8B76-D9DE49E790EE}"/>
              </a:ext>
            </a:extLst>
          </xdr:cNvPr>
          <xdr:cNvSpPr txBox="1"/>
        </xdr:nvSpPr>
        <xdr:spPr>
          <a:xfrm>
            <a:off x="10959150" y="1371598"/>
            <a:ext cx="2092657" cy="284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FF0000"/>
                </a:solidFill>
                <a:latin typeface="Berlin Sans FB" panose="020E0602020502020306" pitchFamily="34" charset="0"/>
                <a:cs typeface="Arial" panose="020B0604020202020204" pitchFamily="34" charset="0"/>
              </a:rPr>
              <a:t>ATTRITION</a:t>
            </a:r>
            <a:r>
              <a:rPr lang="en-IN" sz="1600" b="0" baseline="0">
                <a:solidFill>
                  <a:srgbClr val="FF0000"/>
                </a:solidFill>
                <a:latin typeface="Berlin Sans FB" panose="020E0602020502020306" pitchFamily="34" charset="0"/>
                <a:cs typeface="Arial" panose="020B0604020202020204" pitchFamily="34" charset="0"/>
              </a:rPr>
              <a:t> RATE</a:t>
            </a:r>
            <a:endParaRPr lang="en-IN" sz="1600" b="0">
              <a:solidFill>
                <a:srgbClr val="FF0000"/>
              </a:solidFill>
              <a:latin typeface="Berlin Sans FB" panose="020E0602020502020306" pitchFamily="34" charset="0"/>
              <a:cs typeface="Arial" panose="020B0604020202020204" pitchFamily="34" charset="0"/>
            </a:endParaRPr>
          </a:p>
        </xdr:txBody>
      </xdr:sp>
      <xdr:sp macro="" textlink="KPI!F7">
        <xdr:nvSpPr>
          <xdr:cNvPr id="40" name="TextBox 39">
            <a:extLst>
              <a:ext uri="{FF2B5EF4-FFF2-40B4-BE49-F238E27FC236}">
                <a16:creationId xmlns:a16="http://schemas.microsoft.com/office/drawing/2014/main" id="{3F8B7A43-F9CB-403A-A02A-6ADB3E0BA34D}"/>
              </a:ext>
            </a:extLst>
          </xdr:cNvPr>
          <xdr:cNvSpPr txBox="1"/>
        </xdr:nvSpPr>
        <xdr:spPr>
          <a:xfrm>
            <a:off x="11368585" y="1633185"/>
            <a:ext cx="2047164"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9AA399-9109-4821-A20A-5D8657ACEFD9}" type="TxLink">
              <a:rPr lang="en-US" sz="2800" b="0" i="0" u="none" strike="noStrike">
                <a:solidFill>
                  <a:srgbClr val="000000"/>
                </a:solidFill>
                <a:latin typeface="Berlin Sans FB" panose="020E0602020502020306" pitchFamily="34" charset="0"/>
                <a:ea typeface="Calibri"/>
                <a:cs typeface="Calibri"/>
              </a:rPr>
              <a:pPr/>
              <a:t>16.12%</a:t>
            </a:fld>
            <a:endParaRPr lang="en-US" sz="2800">
              <a:latin typeface="Berlin Sans FB" panose="020E0602020502020306" pitchFamily="34" charset="0"/>
            </a:endParaRPr>
          </a:p>
        </xdr:txBody>
      </xdr:sp>
      <xdr:pic>
        <xdr:nvPicPr>
          <xdr:cNvPr id="41" name="image4.png">
            <a:extLst>
              <a:ext uri="{FF2B5EF4-FFF2-40B4-BE49-F238E27FC236}">
                <a16:creationId xmlns:a16="http://schemas.microsoft.com/office/drawing/2014/main" id="{9D18BE46-1F1F-4BF9-AB40-D2F6A94C572B}"/>
              </a:ext>
            </a:extLst>
          </xdr:cNvPr>
          <xdr:cNvPicPr preferRelativeResize="0"/>
        </xdr:nvPicPr>
        <xdr:blipFill>
          <a:blip xmlns:r="http://schemas.openxmlformats.org/officeDocument/2006/relationships" r:embed="rId1" cstate="print"/>
          <a:stretch>
            <a:fillRect/>
          </a:stretch>
        </xdr:blipFill>
        <xdr:spPr>
          <a:xfrm>
            <a:off x="3844119" y="1387522"/>
            <a:ext cx="333375" cy="314325"/>
          </a:xfrm>
          <a:prstGeom prst="rect">
            <a:avLst/>
          </a:prstGeom>
          <a:noFill/>
        </xdr:spPr>
      </xdr:pic>
      <xdr:pic>
        <xdr:nvPicPr>
          <xdr:cNvPr id="42" name="image7.png">
            <a:extLst>
              <a:ext uri="{FF2B5EF4-FFF2-40B4-BE49-F238E27FC236}">
                <a16:creationId xmlns:a16="http://schemas.microsoft.com/office/drawing/2014/main" id="{EC6AF053-AFD9-4777-AB01-3DE0EF942E58}"/>
              </a:ext>
            </a:extLst>
          </xdr:cNvPr>
          <xdr:cNvPicPr preferRelativeResize="0"/>
        </xdr:nvPicPr>
        <xdr:blipFill>
          <a:blip xmlns:r="http://schemas.openxmlformats.org/officeDocument/2006/relationships" r:embed="rId2" cstate="print"/>
          <a:stretch>
            <a:fillRect/>
          </a:stretch>
        </xdr:blipFill>
        <xdr:spPr>
          <a:xfrm>
            <a:off x="6459941" y="1387522"/>
            <a:ext cx="485775" cy="400050"/>
          </a:xfrm>
          <a:prstGeom prst="rect">
            <a:avLst/>
          </a:prstGeom>
          <a:noFill/>
        </xdr:spPr>
      </xdr:pic>
      <xdr:pic>
        <xdr:nvPicPr>
          <xdr:cNvPr id="43" name="image5.png">
            <a:extLst>
              <a:ext uri="{FF2B5EF4-FFF2-40B4-BE49-F238E27FC236}">
                <a16:creationId xmlns:a16="http://schemas.microsoft.com/office/drawing/2014/main" id="{DCE25C9D-4423-4D19-839D-7C7298A8A974}"/>
              </a:ext>
            </a:extLst>
          </xdr:cNvPr>
          <xdr:cNvPicPr preferRelativeResize="0"/>
        </xdr:nvPicPr>
        <xdr:blipFill>
          <a:blip xmlns:r="http://schemas.openxmlformats.org/officeDocument/2006/relationships" r:embed="rId3" cstate="print"/>
          <a:stretch>
            <a:fillRect/>
          </a:stretch>
        </xdr:blipFill>
        <xdr:spPr>
          <a:xfrm>
            <a:off x="9564806" y="1376149"/>
            <a:ext cx="419100" cy="304800"/>
          </a:xfrm>
          <a:prstGeom prst="rect">
            <a:avLst/>
          </a:prstGeom>
          <a:noFill/>
        </xdr:spPr>
      </xdr:pic>
      <xdr:pic>
        <xdr:nvPicPr>
          <xdr:cNvPr id="44" name="image2.png">
            <a:extLst>
              <a:ext uri="{FF2B5EF4-FFF2-40B4-BE49-F238E27FC236}">
                <a16:creationId xmlns:a16="http://schemas.microsoft.com/office/drawing/2014/main" id="{0EC9CD08-F232-47EF-976F-54D769EAF871}"/>
              </a:ext>
            </a:extLst>
          </xdr:cNvPr>
          <xdr:cNvPicPr preferRelativeResize="0"/>
        </xdr:nvPicPr>
        <xdr:blipFill>
          <a:blip xmlns:r="http://schemas.openxmlformats.org/officeDocument/2006/relationships" r:embed="rId4" cstate="print"/>
          <a:stretch>
            <a:fillRect/>
          </a:stretch>
        </xdr:blipFill>
        <xdr:spPr>
          <a:xfrm>
            <a:off x="12601433" y="1353403"/>
            <a:ext cx="390525" cy="314325"/>
          </a:xfrm>
          <a:prstGeom prst="rect">
            <a:avLst/>
          </a:prstGeom>
          <a:noFill/>
        </xdr:spPr>
      </xdr:pic>
      <xdr:pic>
        <xdr:nvPicPr>
          <xdr:cNvPr id="45" name="image6.png">
            <a:extLst>
              <a:ext uri="{FF2B5EF4-FFF2-40B4-BE49-F238E27FC236}">
                <a16:creationId xmlns:a16="http://schemas.microsoft.com/office/drawing/2014/main" id="{8F423AB6-2CBD-4DC0-8CEE-3660D0F21DFE}"/>
              </a:ext>
            </a:extLst>
          </xdr:cNvPr>
          <xdr:cNvPicPr preferRelativeResize="0"/>
        </xdr:nvPicPr>
        <xdr:blipFill>
          <a:blip xmlns:r="http://schemas.openxmlformats.org/officeDocument/2006/relationships" r:embed="rId5" cstate="print"/>
          <a:stretch>
            <a:fillRect/>
          </a:stretch>
        </xdr:blipFill>
        <xdr:spPr>
          <a:xfrm>
            <a:off x="15421970" y="1410268"/>
            <a:ext cx="295275" cy="266700"/>
          </a:xfrm>
          <a:prstGeom prst="rect">
            <a:avLst/>
          </a:prstGeom>
          <a:noFill/>
        </xdr:spPr>
      </xdr:pic>
      <xdr:pic>
        <xdr:nvPicPr>
          <xdr:cNvPr id="46" name="image1.png">
            <a:extLst>
              <a:ext uri="{FF2B5EF4-FFF2-40B4-BE49-F238E27FC236}">
                <a16:creationId xmlns:a16="http://schemas.microsoft.com/office/drawing/2014/main" id="{DD7E5D21-2F2E-435E-8925-6E6D5FB8BB8F}"/>
              </a:ext>
            </a:extLst>
          </xdr:cNvPr>
          <xdr:cNvPicPr preferRelativeResize="0"/>
        </xdr:nvPicPr>
        <xdr:blipFill>
          <a:blip xmlns:r="http://schemas.openxmlformats.org/officeDocument/2006/relationships" r:embed="rId6" cstate="print"/>
          <a:stretch>
            <a:fillRect/>
          </a:stretch>
        </xdr:blipFill>
        <xdr:spPr>
          <a:xfrm>
            <a:off x="2013045" y="454926"/>
            <a:ext cx="705134" cy="682388"/>
          </a:xfrm>
          <a:prstGeom prst="rect">
            <a:avLst/>
          </a:prstGeom>
          <a:noFill/>
        </xdr:spPr>
      </xdr:pic>
      <xdr:pic>
        <xdr:nvPicPr>
          <xdr:cNvPr id="47" name="image3.png">
            <a:extLst>
              <a:ext uri="{FF2B5EF4-FFF2-40B4-BE49-F238E27FC236}">
                <a16:creationId xmlns:a16="http://schemas.microsoft.com/office/drawing/2014/main" id="{25C1E6FE-1FAE-4736-9E9E-9FF3DE65F685}"/>
              </a:ext>
            </a:extLst>
          </xdr:cNvPr>
          <xdr:cNvPicPr preferRelativeResize="0"/>
        </xdr:nvPicPr>
        <xdr:blipFill>
          <a:blip xmlns:r="http://schemas.openxmlformats.org/officeDocument/2006/relationships" r:embed="rId7" cstate="print"/>
          <a:stretch>
            <a:fillRect/>
          </a:stretch>
        </xdr:blipFill>
        <xdr:spPr>
          <a:xfrm>
            <a:off x="10269940" y="466299"/>
            <a:ext cx="723900" cy="628650"/>
          </a:xfrm>
          <a:prstGeom prst="rect">
            <a:avLst/>
          </a:prstGeom>
          <a:noFill/>
        </xdr:spPr>
      </xdr:pic>
      <xdr:sp macro="" textlink="">
        <xdr:nvSpPr>
          <xdr:cNvPr id="49" name="TextBox 48">
            <a:extLst>
              <a:ext uri="{FF2B5EF4-FFF2-40B4-BE49-F238E27FC236}">
                <a16:creationId xmlns:a16="http://schemas.microsoft.com/office/drawing/2014/main" id="{BC179792-F9CB-4102-A180-C8F0C1FD2688}"/>
              </a:ext>
            </a:extLst>
          </xdr:cNvPr>
          <xdr:cNvSpPr txBox="1"/>
        </xdr:nvSpPr>
        <xdr:spPr>
          <a:xfrm>
            <a:off x="10874992" y="400333"/>
            <a:ext cx="1737816" cy="827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solidFill>
                  <a:srgbClr val="FF0000"/>
                </a:solidFill>
                <a:latin typeface="Berlin Sans FB" panose="020E0602020502020306" pitchFamily="34" charset="0"/>
                <a:cs typeface="Arial" panose="020B0604020202020204" pitchFamily="34" charset="0"/>
              </a:rPr>
              <a:t>JOB</a:t>
            </a:r>
            <a:r>
              <a:rPr lang="en-IN" sz="1600" b="0" baseline="0">
                <a:solidFill>
                  <a:srgbClr val="FF0000"/>
                </a:solidFill>
                <a:latin typeface="Berlin Sans FB" panose="020E0602020502020306" pitchFamily="34" charset="0"/>
                <a:cs typeface="Arial" panose="020B0604020202020204" pitchFamily="34" charset="0"/>
              </a:rPr>
              <a:t> </a:t>
            </a:r>
          </a:p>
          <a:p>
            <a:pPr algn="ctr"/>
            <a:r>
              <a:rPr lang="en-IN" sz="1600" b="0" baseline="0">
                <a:solidFill>
                  <a:srgbClr val="FF0000"/>
                </a:solidFill>
                <a:latin typeface="Berlin Sans FB" panose="020E0602020502020306" pitchFamily="34" charset="0"/>
                <a:cs typeface="Arial" panose="020B0604020202020204" pitchFamily="34" charset="0"/>
              </a:rPr>
              <a:t>SATISFACTION SCORE</a:t>
            </a:r>
            <a:endParaRPr lang="en-IN" sz="1600" b="0">
              <a:solidFill>
                <a:srgbClr val="FF0000"/>
              </a:solidFill>
              <a:latin typeface="Berlin Sans FB" panose="020E0602020502020306" pitchFamily="34" charset="0"/>
              <a:cs typeface="Arial" panose="020B0604020202020204" pitchFamily="34" charset="0"/>
            </a:endParaRPr>
          </a:p>
        </xdr:txBody>
      </xdr:sp>
      <xdr:graphicFrame macro="">
        <xdr:nvGraphicFramePr>
          <xdr:cNvPr id="50" name="Chart 49">
            <a:extLst>
              <a:ext uri="{FF2B5EF4-FFF2-40B4-BE49-F238E27FC236}">
                <a16:creationId xmlns:a16="http://schemas.microsoft.com/office/drawing/2014/main" id="{EC9024CB-78E5-4206-808B-10634798D2E0}"/>
              </a:ext>
            </a:extLst>
          </xdr:cNvPr>
          <xdr:cNvGraphicFramePr>
            <a:graphicFrameLocks/>
          </xdr:cNvGraphicFramePr>
        </xdr:nvGraphicFramePr>
        <xdr:xfrm>
          <a:off x="12260240" y="295702"/>
          <a:ext cx="1148685" cy="921223"/>
        </xdr:xfrm>
        <a:graphic>
          <a:graphicData uri="http://schemas.openxmlformats.org/drawingml/2006/chart">
            <c:chart xmlns:c="http://schemas.openxmlformats.org/drawingml/2006/chart" xmlns:r="http://schemas.openxmlformats.org/officeDocument/2006/relationships" r:id="rId8"/>
          </a:graphicData>
        </a:graphic>
      </xdr:graphicFrame>
      <xdr:sp macro="" textlink="Rating!$B$5">
        <xdr:nvSpPr>
          <xdr:cNvPr id="51" name="TextBox 50">
            <a:extLst>
              <a:ext uri="{FF2B5EF4-FFF2-40B4-BE49-F238E27FC236}">
                <a16:creationId xmlns:a16="http://schemas.microsoft.com/office/drawing/2014/main" id="{C2645E75-AAB5-632E-89AB-81DF7FF6613E}"/>
              </a:ext>
            </a:extLst>
          </xdr:cNvPr>
          <xdr:cNvSpPr txBox="1"/>
        </xdr:nvSpPr>
        <xdr:spPr>
          <a:xfrm>
            <a:off x="12487701" y="591400"/>
            <a:ext cx="557284" cy="329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D9F17B-CF95-43BF-98B8-A3D754EE9B79}" type="TxLink">
              <a:rPr lang="en-US" sz="1800" b="0" i="0" u="none" strike="noStrike">
                <a:solidFill>
                  <a:srgbClr val="000000"/>
                </a:solidFill>
                <a:latin typeface="Berlin Sans FB" panose="020E0602020502020306" pitchFamily="34" charset="0"/>
                <a:ea typeface="Calibri"/>
                <a:cs typeface="Calibri"/>
              </a:rPr>
              <a:pPr/>
              <a:t>2.6</a:t>
            </a:fld>
            <a:endParaRPr lang="en-IN" sz="1800">
              <a:latin typeface="Berlin Sans FB" panose="020E0602020502020306" pitchFamily="34" charset="0"/>
            </a:endParaRPr>
          </a:p>
        </xdr:txBody>
      </xdr:sp>
      <xdr:graphicFrame macro="">
        <xdr:nvGraphicFramePr>
          <xdr:cNvPr id="53" name="Chart 52">
            <a:extLst>
              <a:ext uri="{FF2B5EF4-FFF2-40B4-BE49-F238E27FC236}">
                <a16:creationId xmlns:a16="http://schemas.microsoft.com/office/drawing/2014/main" id="{29FDC8CF-A4AC-41B2-B35A-1CAB9239780D}"/>
              </a:ext>
            </a:extLst>
          </xdr:cNvPr>
          <xdr:cNvGraphicFramePr>
            <a:graphicFrameLocks/>
          </xdr:cNvGraphicFramePr>
        </xdr:nvGraphicFramePr>
        <xdr:xfrm>
          <a:off x="13272448" y="499136"/>
          <a:ext cx="2775045" cy="592685"/>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6" name="Freeform: Shape 55">
            <a:extLst>
              <a:ext uri="{FF2B5EF4-FFF2-40B4-BE49-F238E27FC236}">
                <a16:creationId xmlns:a16="http://schemas.microsoft.com/office/drawing/2014/main" id="{BCCFDBFB-F567-458C-0812-CE7100BA321A}"/>
              </a:ext>
            </a:extLst>
          </xdr:cNvPr>
          <xdr:cNvSpPr/>
        </xdr:nvSpPr>
        <xdr:spPr>
          <a:xfrm>
            <a:off x="13352059" y="492313"/>
            <a:ext cx="2638568" cy="588135"/>
          </a:xfrm>
          <a:custGeom>
            <a:avLst/>
            <a:gdLst>
              <a:gd name="csX0" fmla="*/ 1562628 w 2467897"/>
              <a:gd name="csY0" fmla="*/ 4917 h 521110"/>
              <a:gd name="csX1" fmla="*/ 1505763 w 2467897"/>
              <a:gd name="csY1" fmla="*/ 200208 h 521110"/>
              <a:gd name="csX2" fmla="*/ 1321739 w 2467897"/>
              <a:gd name="csY2" fmla="*/ 200207 h 521110"/>
              <a:gd name="csX3" fmla="*/ 1470618 w 2467897"/>
              <a:gd name="csY3" fmla="*/ 320902 h 521110"/>
              <a:gd name="csX4" fmla="*/ 1413750 w 2467897"/>
              <a:gd name="csY4" fmla="*/ 516193 h 521110"/>
              <a:gd name="csX5" fmla="*/ 1562628 w 2467897"/>
              <a:gd name="csY5" fmla="*/ 395495 h 521110"/>
              <a:gd name="csX6" fmla="*/ 1711506 w 2467897"/>
              <a:gd name="csY6" fmla="*/ 516193 h 521110"/>
              <a:gd name="csX7" fmla="*/ 1654638 w 2467897"/>
              <a:gd name="csY7" fmla="*/ 320902 h 521110"/>
              <a:gd name="csX8" fmla="*/ 1803517 w 2467897"/>
              <a:gd name="csY8" fmla="*/ 200207 h 521110"/>
              <a:gd name="csX9" fmla="*/ 1619493 w 2467897"/>
              <a:gd name="csY9" fmla="*/ 200208 h 521110"/>
              <a:gd name="csX10" fmla="*/ 898248 w 2467897"/>
              <a:gd name="csY10" fmla="*/ 4917 h 521110"/>
              <a:gd name="csX11" fmla="*/ 841383 w 2467897"/>
              <a:gd name="csY11" fmla="*/ 200208 h 521110"/>
              <a:gd name="csX12" fmla="*/ 657359 w 2467897"/>
              <a:gd name="csY12" fmla="*/ 200207 h 521110"/>
              <a:gd name="csX13" fmla="*/ 806238 w 2467897"/>
              <a:gd name="csY13" fmla="*/ 320902 h 521110"/>
              <a:gd name="csX14" fmla="*/ 749370 w 2467897"/>
              <a:gd name="csY14" fmla="*/ 516193 h 521110"/>
              <a:gd name="csX15" fmla="*/ 898248 w 2467897"/>
              <a:gd name="csY15" fmla="*/ 395495 h 521110"/>
              <a:gd name="csX16" fmla="*/ 1047126 w 2467897"/>
              <a:gd name="csY16" fmla="*/ 516193 h 521110"/>
              <a:gd name="csX17" fmla="*/ 990258 w 2467897"/>
              <a:gd name="csY17" fmla="*/ 320902 h 521110"/>
              <a:gd name="csX18" fmla="*/ 1139137 w 2467897"/>
              <a:gd name="csY18" fmla="*/ 200207 h 521110"/>
              <a:gd name="csX19" fmla="*/ 955113 w 2467897"/>
              <a:gd name="csY19" fmla="*/ 200208 h 521110"/>
              <a:gd name="csX20" fmla="*/ 0 w 2467897"/>
              <a:gd name="csY20" fmla="*/ 0 h 521110"/>
              <a:gd name="csX21" fmla="*/ 2467897 w 2467897"/>
              <a:gd name="csY21" fmla="*/ 0 h 521110"/>
              <a:gd name="csX22" fmla="*/ 2467897 w 2467897"/>
              <a:gd name="csY22" fmla="*/ 200207 h 521110"/>
              <a:gd name="csX23" fmla="*/ 2283873 w 2467897"/>
              <a:gd name="csY23" fmla="*/ 200208 h 521110"/>
              <a:gd name="csX24" fmla="*/ 2227008 w 2467897"/>
              <a:gd name="csY24" fmla="*/ 4917 h 521110"/>
              <a:gd name="csX25" fmla="*/ 2170143 w 2467897"/>
              <a:gd name="csY25" fmla="*/ 200208 h 521110"/>
              <a:gd name="csX26" fmla="*/ 1986119 w 2467897"/>
              <a:gd name="csY26" fmla="*/ 200207 h 521110"/>
              <a:gd name="csX27" fmla="*/ 2134998 w 2467897"/>
              <a:gd name="csY27" fmla="*/ 320902 h 521110"/>
              <a:gd name="csX28" fmla="*/ 2078130 w 2467897"/>
              <a:gd name="csY28" fmla="*/ 516193 h 521110"/>
              <a:gd name="csX29" fmla="*/ 2227008 w 2467897"/>
              <a:gd name="csY29" fmla="*/ 395495 h 521110"/>
              <a:gd name="csX30" fmla="*/ 2375886 w 2467897"/>
              <a:gd name="csY30" fmla="*/ 516193 h 521110"/>
              <a:gd name="csX31" fmla="*/ 2319018 w 2467897"/>
              <a:gd name="csY31" fmla="*/ 320902 h 521110"/>
              <a:gd name="csX32" fmla="*/ 2467897 w 2467897"/>
              <a:gd name="csY32" fmla="*/ 200207 h 521110"/>
              <a:gd name="csX33" fmla="*/ 2467897 w 2467897"/>
              <a:gd name="csY33" fmla="*/ 521110 h 521110"/>
              <a:gd name="csX34" fmla="*/ 0 w 2467897"/>
              <a:gd name="csY34" fmla="*/ 521110 h 521110"/>
              <a:gd name="csX35" fmla="*/ 0 w 2467897"/>
              <a:gd name="csY35" fmla="*/ 205899 h 521110"/>
              <a:gd name="csX36" fmla="*/ 141858 w 2467897"/>
              <a:gd name="csY36" fmla="*/ 320902 h 521110"/>
              <a:gd name="csX37" fmla="*/ 84990 w 2467897"/>
              <a:gd name="csY37" fmla="*/ 516193 h 521110"/>
              <a:gd name="csX38" fmla="*/ 233868 w 2467897"/>
              <a:gd name="csY38" fmla="*/ 395495 h 521110"/>
              <a:gd name="csX39" fmla="*/ 382746 w 2467897"/>
              <a:gd name="csY39" fmla="*/ 516193 h 521110"/>
              <a:gd name="csX40" fmla="*/ 325878 w 2467897"/>
              <a:gd name="csY40" fmla="*/ 320902 h 521110"/>
              <a:gd name="csX41" fmla="*/ 474757 w 2467897"/>
              <a:gd name="csY41" fmla="*/ 200207 h 521110"/>
              <a:gd name="csX42" fmla="*/ 290733 w 2467897"/>
              <a:gd name="csY42" fmla="*/ 200208 h 521110"/>
              <a:gd name="csX43" fmla="*/ 233868 w 2467897"/>
              <a:gd name="csY43" fmla="*/ 4917 h 521110"/>
              <a:gd name="csX44" fmla="*/ 177003 w 2467897"/>
              <a:gd name="csY44" fmla="*/ 200208 h 521110"/>
              <a:gd name="csX45" fmla="*/ 0 w 2467897"/>
              <a:gd name="csY45" fmla="*/ 200207 h 52111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Lst>
            <a:rect l="l" t="t" r="r" b="b"/>
            <a:pathLst>
              <a:path w="2467897" h="521110">
                <a:moveTo>
                  <a:pt x="1562628" y="4917"/>
                </a:moveTo>
                <a:lnTo>
                  <a:pt x="1505763" y="200208"/>
                </a:lnTo>
                <a:lnTo>
                  <a:pt x="1321739" y="200207"/>
                </a:lnTo>
                <a:lnTo>
                  <a:pt x="1470618" y="320902"/>
                </a:lnTo>
                <a:lnTo>
                  <a:pt x="1413750" y="516193"/>
                </a:lnTo>
                <a:lnTo>
                  <a:pt x="1562628" y="395495"/>
                </a:lnTo>
                <a:lnTo>
                  <a:pt x="1711506" y="516193"/>
                </a:lnTo>
                <a:lnTo>
                  <a:pt x="1654638" y="320902"/>
                </a:lnTo>
                <a:lnTo>
                  <a:pt x="1803517" y="200207"/>
                </a:lnTo>
                <a:lnTo>
                  <a:pt x="1619493" y="200208"/>
                </a:lnTo>
                <a:close/>
                <a:moveTo>
                  <a:pt x="898248" y="4917"/>
                </a:moveTo>
                <a:lnTo>
                  <a:pt x="841383" y="200208"/>
                </a:lnTo>
                <a:lnTo>
                  <a:pt x="657359" y="200207"/>
                </a:lnTo>
                <a:lnTo>
                  <a:pt x="806238" y="320902"/>
                </a:lnTo>
                <a:lnTo>
                  <a:pt x="749370" y="516193"/>
                </a:lnTo>
                <a:lnTo>
                  <a:pt x="898248" y="395495"/>
                </a:lnTo>
                <a:lnTo>
                  <a:pt x="1047126" y="516193"/>
                </a:lnTo>
                <a:lnTo>
                  <a:pt x="990258" y="320902"/>
                </a:lnTo>
                <a:lnTo>
                  <a:pt x="1139137" y="200207"/>
                </a:lnTo>
                <a:lnTo>
                  <a:pt x="955113" y="200208"/>
                </a:lnTo>
                <a:close/>
                <a:moveTo>
                  <a:pt x="0" y="0"/>
                </a:moveTo>
                <a:lnTo>
                  <a:pt x="2467897" y="0"/>
                </a:lnTo>
                <a:lnTo>
                  <a:pt x="2467897" y="200207"/>
                </a:lnTo>
                <a:lnTo>
                  <a:pt x="2283873" y="200208"/>
                </a:lnTo>
                <a:lnTo>
                  <a:pt x="2227008" y="4917"/>
                </a:lnTo>
                <a:lnTo>
                  <a:pt x="2170143" y="200208"/>
                </a:lnTo>
                <a:lnTo>
                  <a:pt x="1986119" y="200207"/>
                </a:lnTo>
                <a:lnTo>
                  <a:pt x="2134998" y="320902"/>
                </a:lnTo>
                <a:lnTo>
                  <a:pt x="2078130" y="516193"/>
                </a:lnTo>
                <a:lnTo>
                  <a:pt x="2227008" y="395495"/>
                </a:lnTo>
                <a:lnTo>
                  <a:pt x="2375886" y="516193"/>
                </a:lnTo>
                <a:lnTo>
                  <a:pt x="2319018" y="320902"/>
                </a:lnTo>
                <a:lnTo>
                  <a:pt x="2467897" y="200207"/>
                </a:lnTo>
                <a:lnTo>
                  <a:pt x="2467897" y="521110"/>
                </a:lnTo>
                <a:lnTo>
                  <a:pt x="0" y="521110"/>
                </a:lnTo>
                <a:lnTo>
                  <a:pt x="0" y="205899"/>
                </a:lnTo>
                <a:lnTo>
                  <a:pt x="141858" y="320902"/>
                </a:lnTo>
                <a:lnTo>
                  <a:pt x="84990" y="516193"/>
                </a:lnTo>
                <a:lnTo>
                  <a:pt x="233868" y="395495"/>
                </a:lnTo>
                <a:lnTo>
                  <a:pt x="382746" y="516193"/>
                </a:lnTo>
                <a:lnTo>
                  <a:pt x="325878" y="320902"/>
                </a:lnTo>
                <a:lnTo>
                  <a:pt x="474757" y="200207"/>
                </a:lnTo>
                <a:lnTo>
                  <a:pt x="290733" y="200208"/>
                </a:lnTo>
                <a:lnTo>
                  <a:pt x="233868" y="4917"/>
                </a:lnTo>
                <a:lnTo>
                  <a:pt x="177003" y="200208"/>
                </a:lnTo>
                <a:lnTo>
                  <a:pt x="0" y="200207"/>
                </a:lnTo>
                <a:close/>
              </a:path>
            </a:pathLst>
          </a:cu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aphicFrame macro="">
        <xdr:nvGraphicFramePr>
          <xdr:cNvPr id="58" name="Chart 57">
            <a:extLst>
              <a:ext uri="{FF2B5EF4-FFF2-40B4-BE49-F238E27FC236}">
                <a16:creationId xmlns:a16="http://schemas.microsoft.com/office/drawing/2014/main" id="{BC277596-9E7C-499D-A890-C4543E548ED3}"/>
              </a:ext>
            </a:extLst>
          </xdr:cNvPr>
          <xdr:cNvGraphicFramePr>
            <a:graphicFrameLocks/>
          </xdr:cNvGraphicFramePr>
        </xdr:nvGraphicFramePr>
        <xdr:xfrm>
          <a:off x="1728716" y="3468805"/>
          <a:ext cx="1626358" cy="148209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9" name="Chart 58">
            <a:extLst>
              <a:ext uri="{FF2B5EF4-FFF2-40B4-BE49-F238E27FC236}">
                <a16:creationId xmlns:a16="http://schemas.microsoft.com/office/drawing/2014/main" id="{8AEEB571-1551-4848-A437-DC6B2D8D0117}"/>
              </a:ext>
            </a:extLst>
          </xdr:cNvPr>
          <xdr:cNvGraphicFramePr>
            <a:graphicFrameLocks/>
          </xdr:cNvGraphicFramePr>
        </xdr:nvGraphicFramePr>
        <xdr:xfrm>
          <a:off x="4291651" y="3592630"/>
          <a:ext cx="1626358" cy="148209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1" name="Graphic 60" descr="Male profile with solid fill">
            <a:extLst>
              <a:ext uri="{FF2B5EF4-FFF2-40B4-BE49-F238E27FC236}">
                <a16:creationId xmlns:a16="http://schemas.microsoft.com/office/drawing/2014/main" id="{B40A24D9-92D4-E32E-9CBE-0C4236A4BDA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62150" y="3632580"/>
            <a:ext cx="966716" cy="966716"/>
          </a:xfrm>
          <a:prstGeom prst="rect">
            <a:avLst/>
          </a:prstGeom>
        </xdr:spPr>
      </xdr:pic>
      <xdr:pic>
        <xdr:nvPicPr>
          <xdr:cNvPr id="63" name="Graphic 62" descr="Female Profile with solid fill">
            <a:extLst>
              <a:ext uri="{FF2B5EF4-FFF2-40B4-BE49-F238E27FC236}">
                <a16:creationId xmlns:a16="http://schemas.microsoft.com/office/drawing/2014/main" id="{FD6516BE-F93B-7AE4-841E-8E7F25B7AFA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22896" y="3673522"/>
            <a:ext cx="914400" cy="914400"/>
          </a:xfrm>
          <a:prstGeom prst="rect">
            <a:avLst/>
          </a:prstGeom>
        </xdr:spPr>
      </xdr:pic>
      <xdr:sp macro="" textlink="Gender!$B$8">
        <xdr:nvSpPr>
          <xdr:cNvPr id="64" name="TextBox 63">
            <a:extLst>
              <a:ext uri="{FF2B5EF4-FFF2-40B4-BE49-F238E27FC236}">
                <a16:creationId xmlns:a16="http://schemas.microsoft.com/office/drawing/2014/main" id="{DD260EEA-192B-4F80-9F89-E281CD7A0B69}"/>
              </a:ext>
            </a:extLst>
          </xdr:cNvPr>
          <xdr:cNvSpPr txBox="1"/>
        </xdr:nvSpPr>
        <xdr:spPr>
          <a:xfrm>
            <a:off x="2108010" y="4081675"/>
            <a:ext cx="576049" cy="29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60FF70-6B01-4402-8EF2-46DDB30B04EB}" type="TxLink">
              <a:rPr lang="en-US" sz="1800" b="0" i="0" u="none" strike="noStrike">
                <a:solidFill>
                  <a:srgbClr val="000000"/>
                </a:solidFill>
                <a:latin typeface="Berlin Sans FB" panose="020E0602020502020306" pitchFamily="34" charset="0"/>
                <a:ea typeface="Calibri"/>
                <a:cs typeface="Calibri"/>
              </a:rPr>
              <a:pPr/>
              <a:t>588</a:t>
            </a:fld>
            <a:endParaRPr lang="en-IN" sz="1800">
              <a:latin typeface="Berlin Sans FB" panose="020E0602020502020306" pitchFamily="34" charset="0"/>
            </a:endParaRPr>
          </a:p>
        </xdr:txBody>
      </xdr:sp>
      <xdr:sp macro="" textlink="Gender!$B$9">
        <xdr:nvSpPr>
          <xdr:cNvPr id="65" name="TextBox 64">
            <a:extLst>
              <a:ext uri="{FF2B5EF4-FFF2-40B4-BE49-F238E27FC236}">
                <a16:creationId xmlns:a16="http://schemas.microsoft.com/office/drawing/2014/main" id="{D82BBE24-F1FD-4725-B4BE-D059FF7B57C3}"/>
              </a:ext>
            </a:extLst>
          </xdr:cNvPr>
          <xdr:cNvSpPr txBox="1"/>
        </xdr:nvSpPr>
        <xdr:spPr>
          <a:xfrm>
            <a:off x="4921724" y="4097596"/>
            <a:ext cx="560126" cy="372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655E07-7623-4474-83DD-97C4E0D50FEC}" type="TxLink">
              <a:rPr lang="en-US" sz="1800" b="0" i="0" u="none" strike="noStrike">
                <a:solidFill>
                  <a:srgbClr val="000000"/>
                </a:solidFill>
                <a:latin typeface="Berlin Sans FB" panose="020E0602020502020306" pitchFamily="34" charset="0"/>
                <a:ea typeface="Calibri"/>
                <a:cs typeface="Calibri"/>
              </a:rPr>
              <a:pPr/>
              <a:t>882</a:t>
            </a:fld>
            <a:endParaRPr lang="en-IN" sz="1800">
              <a:latin typeface="Berlin Sans FB" panose="020E0602020502020306" pitchFamily="34" charset="0"/>
            </a:endParaRPr>
          </a:p>
        </xdr:txBody>
      </xdr:sp>
      <xdr:sp macro="" textlink="">
        <xdr:nvSpPr>
          <xdr:cNvPr id="66" name="TextBox 65">
            <a:extLst>
              <a:ext uri="{FF2B5EF4-FFF2-40B4-BE49-F238E27FC236}">
                <a16:creationId xmlns:a16="http://schemas.microsoft.com/office/drawing/2014/main" id="{1565BD0F-0504-4D62-BE8F-2C1B61D612F0}"/>
              </a:ext>
            </a:extLst>
          </xdr:cNvPr>
          <xdr:cNvSpPr txBox="1"/>
        </xdr:nvSpPr>
        <xdr:spPr>
          <a:xfrm>
            <a:off x="2165443" y="2392906"/>
            <a:ext cx="3066199" cy="268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FF0000"/>
                </a:solidFill>
                <a:latin typeface="Berlin Sans FB" panose="020E0602020502020306" pitchFamily="34" charset="0"/>
                <a:cs typeface="Arial" panose="020B0604020202020204" pitchFamily="34" charset="0"/>
              </a:rPr>
              <a:t>TOTAL</a:t>
            </a:r>
            <a:r>
              <a:rPr lang="en-IN" sz="1600" b="0" baseline="0">
                <a:solidFill>
                  <a:srgbClr val="FF0000"/>
                </a:solidFill>
                <a:latin typeface="Berlin Sans FB" panose="020E0602020502020306" pitchFamily="34" charset="0"/>
                <a:cs typeface="Arial" panose="020B0604020202020204" pitchFamily="34" charset="0"/>
              </a:rPr>
              <a:t> EMPLOYEES BY GENDER</a:t>
            </a:r>
            <a:endParaRPr lang="en-IN" sz="1600" b="0">
              <a:solidFill>
                <a:srgbClr val="FF0000"/>
              </a:solidFill>
              <a:latin typeface="Berlin Sans FB" panose="020E0602020502020306" pitchFamily="34" charset="0"/>
              <a:cs typeface="Arial" panose="020B0604020202020204" pitchFamily="34" charset="0"/>
            </a:endParaRPr>
          </a:p>
        </xdr:txBody>
      </xdr:sp>
      <mc:AlternateContent xmlns:mc="http://schemas.openxmlformats.org/markup-compatibility/2006">
        <mc:Choice xmlns:a14="http://schemas.microsoft.com/office/drawing/2010/main" Requires="a14">
          <xdr:graphicFrame macro="">
            <xdr:nvGraphicFramePr>
              <xdr:cNvPr id="68" name="Gender 2">
                <a:extLst>
                  <a:ext uri="{FF2B5EF4-FFF2-40B4-BE49-F238E27FC236}">
                    <a16:creationId xmlns:a16="http://schemas.microsoft.com/office/drawing/2014/main" id="{84580C0B-54FD-47E9-A5D1-DEEF54210907}"/>
                  </a:ext>
                </a:extLst>
              </xdr:cNvPr>
              <xdr:cNvGraphicFramePr/>
            </xdr:nvGraphicFramePr>
            <xdr:xfrm>
              <a:off x="2888777" y="2831910"/>
              <a:ext cx="1828800" cy="716508"/>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763673" y="2638567"/>
                <a:ext cx="1828800" cy="716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69" name="Chart 68">
            <a:extLst>
              <a:ext uri="{FF2B5EF4-FFF2-40B4-BE49-F238E27FC236}">
                <a16:creationId xmlns:a16="http://schemas.microsoft.com/office/drawing/2014/main" id="{D2DE0B45-8DC7-4E81-88AD-2557C7D0ED48}"/>
              </a:ext>
            </a:extLst>
          </xdr:cNvPr>
          <xdr:cNvGraphicFramePr>
            <a:graphicFrameLocks/>
          </xdr:cNvGraphicFramePr>
        </xdr:nvGraphicFramePr>
        <xdr:xfrm>
          <a:off x="6277969" y="2695433"/>
          <a:ext cx="4765343" cy="2320119"/>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70" name="TextBox 69">
            <a:extLst>
              <a:ext uri="{FF2B5EF4-FFF2-40B4-BE49-F238E27FC236}">
                <a16:creationId xmlns:a16="http://schemas.microsoft.com/office/drawing/2014/main" id="{9D7DF948-F7E5-4D58-8D66-A43CF1B697F5}"/>
              </a:ext>
            </a:extLst>
          </xdr:cNvPr>
          <xdr:cNvSpPr txBox="1"/>
        </xdr:nvSpPr>
        <xdr:spPr>
          <a:xfrm>
            <a:off x="7174171" y="2363336"/>
            <a:ext cx="3066199" cy="268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rgbClr val="FF0000"/>
                </a:solidFill>
                <a:latin typeface="Berlin Sans FB" panose="020E0602020502020306" pitchFamily="34" charset="0"/>
                <a:cs typeface="Arial" panose="020B0604020202020204" pitchFamily="34" charset="0"/>
              </a:rPr>
              <a:t>EDUCATION</a:t>
            </a:r>
            <a:r>
              <a:rPr lang="en-IN" sz="1600" b="0" baseline="0">
                <a:solidFill>
                  <a:srgbClr val="FF0000"/>
                </a:solidFill>
                <a:latin typeface="Berlin Sans FB" panose="020E0602020502020306" pitchFamily="34" charset="0"/>
                <a:cs typeface="Arial" panose="020B0604020202020204" pitchFamily="34" charset="0"/>
              </a:rPr>
              <a:t> WISE ATTRITION</a:t>
            </a:r>
            <a:endParaRPr lang="en-IN" sz="1600" b="0">
              <a:solidFill>
                <a:srgbClr val="FF0000"/>
              </a:solidFill>
              <a:latin typeface="Berlin Sans FB" panose="020E0602020502020306" pitchFamily="34" charset="0"/>
              <a:cs typeface="Arial" panose="020B0604020202020204" pitchFamily="34" charset="0"/>
            </a:endParaRPr>
          </a:p>
        </xdr:txBody>
      </xdr:sp>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EA34900C-4BE8-4DC4-B4B8-4A0A70909262}"/>
                  </a:ext>
                </a:extLst>
              </xdr:cNvPr>
              <xdr:cNvGraphicFramePr/>
            </xdr:nvGraphicFramePr>
            <xdr:xfrm>
              <a:off x="11384509" y="2729552"/>
              <a:ext cx="4678338" cy="2217761"/>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384509" y="2729552"/>
                <a:ext cx="4678338" cy="22177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72" name="TextBox 71">
            <a:extLst>
              <a:ext uri="{FF2B5EF4-FFF2-40B4-BE49-F238E27FC236}">
                <a16:creationId xmlns:a16="http://schemas.microsoft.com/office/drawing/2014/main" id="{E118E076-82C1-48B6-A5A5-8C3A3E7A9266}"/>
              </a:ext>
            </a:extLst>
          </xdr:cNvPr>
          <xdr:cNvSpPr txBox="1"/>
        </xdr:nvSpPr>
        <xdr:spPr>
          <a:xfrm>
            <a:off x="12615079" y="2390631"/>
            <a:ext cx="3066199" cy="268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baseline="0">
                <a:solidFill>
                  <a:srgbClr val="FF0000"/>
                </a:solidFill>
                <a:latin typeface="Berlin Sans FB" panose="020E0602020502020306" pitchFamily="34" charset="0"/>
                <a:cs typeface="Arial" panose="020B0604020202020204" pitchFamily="34" charset="0"/>
              </a:rPr>
              <a:t>ATTRITION BY JOB ROLE</a:t>
            </a:r>
            <a:endParaRPr lang="en-IN" sz="1600" b="0">
              <a:solidFill>
                <a:srgbClr val="FF0000"/>
              </a:solidFill>
              <a:latin typeface="Berlin Sans FB" panose="020E0602020502020306" pitchFamily="34" charset="0"/>
              <a:cs typeface="Arial" panose="020B0604020202020204" pitchFamily="34" charset="0"/>
            </a:endParaRPr>
          </a:p>
        </xdr:txBody>
      </xdr:sp>
      <xdr:graphicFrame macro="">
        <xdr:nvGraphicFramePr>
          <xdr:cNvPr id="73" name="Chart 72">
            <a:extLst>
              <a:ext uri="{FF2B5EF4-FFF2-40B4-BE49-F238E27FC236}">
                <a16:creationId xmlns:a16="http://schemas.microsoft.com/office/drawing/2014/main" id="{E56A1990-3B4C-44FA-88C3-640AE5FB887A}"/>
              </a:ext>
            </a:extLst>
          </xdr:cNvPr>
          <xdr:cNvGraphicFramePr>
            <a:graphicFrameLocks/>
          </xdr:cNvGraphicFramePr>
        </xdr:nvGraphicFramePr>
        <xdr:xfrm>
          <a:off x="1641712" y="5447732"/>
          <a:ext cx="4078975" cy="2376984"/>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74" name="TextBox 73">
            <a:extLst>
              <a:ext uri="{FF2B5EF4-FFF2-40B4-BE49-F238E27FC236}">
                <a16:creationId xmlns:a16="http://schemas.microsoft.com/office/drawing/2014/main" id="{921570A2-BB63-484C-89EF-711FF6AFC5C7}"/>
              </a:ext>
            </a:extLst>
          </xdr:cNvPr>
          <xdr:cNvSpPr txBox="1"/>
        </xdr:nvSpPr>
        <xdr:spPr>
          <a:xfrm>
            <a:off x="2085264" y="5128003"/>
            <a:ext cx="3931123" cy="33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baseline="0">
                <a:solidFill>
                  <a:srgbClr val="FF0000"/>
                </a:solidFill>
                <a:latin typeface="Berlin Sans FB" panose="020E0602020502020306" pitchFamily="34" charset="0"/>
                <a:cs typeface="Arial" panose="020B0604020202020204" pitchFamily="34" charset="0"/>
              </a:rPr>
              <a:t>ATTRITION RATE BY DEPARTMENT</a:t>
            </a:r>
            <a:endParaRPr lang="en-IN" sz="1600" b="0">
              <a:solidFill>
                <a:srgbClr val="FF0000"/>
              </a:solidFill>
              <a:latin typeface="Berlin Sans FB" panose="020E0602020502020306" pitchFamily="34" charset="0"/>
              <a:cs typeface="Arial" panose="020B0604020202020204" pitchFamily="34" charset="0"/>
            </a:endParaRPr>
          </a:p>
        </xdr:txBody>
      </xdr:sp>
      <xdr:graphicFrame macro="">
        <xdr:nvGraphicFramePr>
          <xdr:cNvPr id="75" name="Chart 74">
            <a:extLst>
              <a:ext uri="{FF2B5EF4-FFF2-40B4-BE49-F238E27FC236}">
                <a16:creationId xmlns:a16="http://schemas.microsoft.com/office/drawing/2014/main" id="{ED04AA0E-00A6-425E-99A4-9A7C76E56217}"/>
              </a:ext>
            </a:extLst>
          </xdr:cNvPr>
          <xdr:cNvGraphicFramePr>
            <a:graphicFrameLocks/>
          </xdr:cNvGraphicFramePr>
        </xdr:nvGraphicFramePr>
        <xdr:xfrm>
          <a:off x="6073255" y="5447731"/>
          <a:ext cx="3707642" cy="2240508"/>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76" name="TextBox 75">
            <a:extLst>
              <a:ext uri="{FF2B5EF4-FFF2-40B4-BE49-F238E27FC236}">
                <a16:creationId xmlns:a16="http://schemas.microsoft.com/office/drawing/2014/main" id="{3181E9EE-921C-4A13-ABA9-265CEFD9EFAE}"/>
              </a:ext>
            </a:extLst>
          </xdr:cNvPr>
          <xdr:cNvSpPr txBox="1"/>
        </xdr:nvSpPr>
        <xdr:spPr>
          <a:xfrm>
            <a:off x="6918847" y="5139376"/>
            <a:ext cx="3931123" cy="33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baseline="0">
                <a:solidFill>
                  <a:srgbClr val="FF0000"/>
                </a:solidFill>
                <a:latin typeface="Berlin Sans FB" panose="020E0602020502020306" pitchFamily="34" charset="0"/>
                <a:cs typeface="Arial" panose="020B0604020202020204" pitchFamily="34" charset="0"/>
              </a:rPr>
              <a:t>ATTRITION BY AGE</a:t>
            </a:r>
            <a:endParaRPr lang="en-IN" sz="1600" b="0">
              <a:solidFill>
                <a:srgbClr val="FF0000"/>
              </a:solidFill>
              <a:latin typeface="Berlin Sans FB" panose="020E0602020502020306" pitchFamily="34" charset="0"/>
              <a:cs typeface="Arial" panose="020B0604020202020204" pitchFamily="34" charset="0"/>
            </a:endParaRPr>
          </a:p>
        </xdr:txBody>
      </xdr:sp>
      <mc:AlternateContent xmlns:mc="http://schemas.openxmlformats.org/markup-compatibility/2006">
        <mc:Choice xmlns:cx2="http://schemas.microsoft.com/office/drawing/2015/10/21/chartex" Requires="cx2">
          <xdr:graphicFrame macro="">
            <xdr:nvGraphicFramePr>
              <xdr:cNvPr id="77" name="Chart 76">
                <a:extLst>
                  <a:ext uri="{FF2B5EF4-FFF2-40B4-BE49-F238E27FC236}">
                    <a16:creationId xmlns:a16="http://schemas.microsoft.com/office/drawing/2014/main" id="{44CF10A7-70A2-4953-9532-B553E2D3EF58}"/>
                  </a:ext>
                </a:extLst>
              </xdr:cNvPr>
              <xdr:cNvGraphicFramePr/>
            </xdr:nvGraphicFramePr>
            <xdr:xfrm>
              <a:off x="10008357" y="5470478"/>
              <a:ext cx="2900149" cy="2206388"/>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008357" y="5470478"/>
                <a:ext cx="2900149" cy="22063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78" name="TextBox 77">
            <a:extLst>
              <a:ext uri="{FF2B5EF4-FFF2-40B4-BE49-F238E27FC236}">
                <a16:creationId xmlns:a16="http://schemas.microsoft.com/office/drawing/2014/main" id="{28E7BC51-66A3-469A-A5BF-96A815016332}"/>
              </a:ext>
            </a:extLst>
          </xdr:cNvPr>
          <xdr:cNvSpPr txBox="1"/>
        </xdr:nvSpPr>
        <xdr:spPr>
          <a:xfrm>
            <a:off x="9960023" y="5143925"/>
            <a:ext cx="3931123" cy="33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baseline="0">
                <a:solidFill>
                  <a:srgbClr val="FF0000"/>
                </a:solidFill>
                <a:latin typeface="Berlin Sans FB" panose="020E0602020502020306" pitchFamily="34" charset="0"/>
                <a:cs typeface="Arial" panose="020B0604020202020204" pitchFamily="34" charset="0"/>
              </a:rPr>
              <a:t>ATTRITION BY MARITAL STATUS</a:t>
            </a:r>
            <a:endParaRPr lang="en-IN" sz="1600" b="0">
              <a:solidFill>
                <a:srgbClr val="FF0000"/>
              </a:solidFill>
              <a:latin typeface="Berlin Sans FB" panose="020E0602020502020306" pitchFamily="34" charset="0"/>
              <a:cs typeface="Arial" panose="020B0604020202020204" pitchFamily="34" charset="0"/>
            </a:endParaRPr>
          </a:p>
        </xdr:txBody>
      </xdr:sp>
      <mc:AlternateContent xmlns:mc="http://schemas.openxmlformats.org/markup-compatibility/2006">
        <mc:Choice xmlns:a14="http://schemas.microsoft.com/office/drawing/2010/main" Requires="a14">
          <xdr:graphicFrame macro="">
            <xdr:nvGraphicFramePr>
              <xdr:cNvPr id="79" name="Education Field 3">
                <a:extLst>
                  <a:ext uri="{FF2B5EF4-FFF2-40B4-BE49-F238E27FC236}">
                    <a16:creationId xmlns:a16="http://schemas.microsoft.com/office/drawing/2014/main" id="{28F7566D-BC54-4D89-8B66-2C754A0AD58A}"/>
                  </a:ext>
                </a:extLst>
              </xdr:cNvPr>
              <xdr:cNvGraphicFramePr/>
            </xdr:nvGraphicFramePr>
            <xdr:xfrm>
              <a:off x="13135971" y="5150750"/>
              <a:ext cx="2911522" cy="1252325"/>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010867" y="4957407"/>
                <a:ext cx="2911522" cy="1252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0" name="Department 1">
                <a:extLst>
                  <a:ext uri="{FF2B5EF4-FFF2-40B4-BE49-F238E27FC236}">
                    <a16:creationId xmlns:a16="http://schemas.microsoft.com/office/drawing/2014/main" id="{14CC2369-AB34-4AFD-8C72-D1D238F0B72A}"/>
                  </a:ext>
                </a:extLst>
              </xdr:cNvPr>
              <xdr:cNvGraphicFramePr/>
            </xdr:nvGraphicFramePr>
            <xdr:xfrm>
              <a:off x="13701788" y="6474581"/>
              <a:ext cx="1981767" cy="1259149"/>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576684" y="6281238"/>
                <a:ext cx="1981767" cy="1259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118110</xdr:colOff>
      <xdr:row>0</xdr:row>
      <xdr:rowOff>26670</xdr:rowOff>
    </xdr:from>
    <xdr:to>
      <xdr:col>6</xdr:col>
      <xdr:colOff>403860</xdr:colOff>
      <xdr:row>6</xdr:row>
      <xdr:rowOff>114300</xdr:rowOff>
    </xdr:to>
    <xdr:graphicFrame macro="">
      <xdr:nvGraphicFramePr>
        <xdr:cNvPr id="3" name="Chart 2">
          <a:extLst>
            <a:ext uri="{FF2B5EF4-FFF2-40B4-BE49-F238E27FC236}">
              <a16:creationId xmlns:a16="http://schemas.microsoft.com/office/drawing/2014/main" id="{6AB77EB1-A1D1-F339-3189-88971A6B9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510540</xdr:colOff>
      <xdr:row>2</xdr:row>
      <xdr:rowOff>7621</xdr:rowOff>
    </xdr:from>
    <xdr:to>
      <xdr:col>8</xdr:col>
      <xdr:colOff>495300</xdr:colOff>
      <xdr:row>7</xdr:row>
      <xdr:rowOff>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DF989F1C-CFF6-E0F3-F9BC-9B3A884F952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669280" y="403861"/>
              <a:ext cx="132588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7620</xdr:rowOff>
    </xdr:from>
    <xdr:to>
      <xdr:col>5</xdr:col>
      <xdr:colOff>83820</xdr:colOff>
      <xdr:row>10</xdr:row>
      <xdr:rowOff>179070</xdr:rowOff>
    </xdr:to>
    <xdr:graphicFrame macro="">
      <xdr:nvGraphicFramePr>
        <xdr:cNvPr id="5" name="Chart 4">
          <a:extLst>
            <a:ext uri="{FF2B5EF4-FFF2-40B4-BE49-F238E27FC236}">
              <a16:creationId xmlns:a16="http://schemas.microsoft.com/office/drawing/2014/main" id="{76ED652C-926B-E7D7-A04F-1BE33F46F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30480</xdr:colOff>
      <xdr:row>2</xdr:row>
      <xdr:rowOff>30481</xdr:rowOff>
    </xdr:from>
    <xdr:to>
      <xdr:col>11</xdr:col>
      <xdr:colOff>518160</xdr:colOff>
      <xdr:row>12</xdr:row>
      <xdr:rowOff>175261</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7F90833E-7724-144B-BE82-6E609D036E1F}"/>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200900" y="426721"/>
              <a:ext cx="182880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293370</xdr:colOff>
      <xdr:row>0</xdr:row>
      <xdr:rowOff>0</xdr:rowOff>
    </xdr:from>
    <xdr:to>
      <xdr:col>9</xdr:col>
      <xdr:colOff>171450</xdr:colOff>
      <xdr:row>13</xdr:row>
      <xdr:rowOff>167640</xdr:rowOff>
    </xdr:to>
    <xdr:graphicFrame macro="">
      <xdr:nvGraphicFramePr>
        <xdr:cNvPr id="3" name="Chart 2">
          <a:extLst>
            <a:ext uri="{FF2B5EF4-FFF2-40B4-BE49-F238E27FC236}">
              <a16:creationId xmlns:a16="http://schemas.microsoft.com/office/drawing/2014/main" id="{F0D436F9-8240-CB4E-B1A8-B8215A6E0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300990</xdr:colOff>
      <xdr:row>0</xdr:row>
      <xdr:rowOff>0</xdr:rowOff>
    </xdr:from>
    <xdr:to>
      <xdr:col>12</xdr:col>
      <xdr:colOff>179070</xdr:colOff>
      <xdr:row>13</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FED2896-99F7-D13A-86BE-A2B80CC9BE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30390" y="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594360</xdr:colOff>
      <xdr:row>0</xdr:row>
      <xdr:rowOff>0</xdr:rowOff>
    </xdr:from>
    <xdr:to>
      <xdr:col>8</xdr:col>
      <xdr:colOff>411480</xdr:colOff>
      <xdr:row>13</xdr:row>
      <xdr:rowOff>120015</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331C5572-BE52-A7CA-D4D8-DE0234D5A6B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166360" y="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457200</xdr:colOff>
      <xdr:row>0</xdr:row>
      <xdr:rowOff>175261</xdr:rowOff>
    </xdr:from>
    <xdr:to>
      <xdr:col>5</xdr:col>
      <xdr:colOff>274320</xdr:colOff>
      <xdr:row>6</xdr:row>
      <xdr:rowOff>15241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F1574B21-44B8-2434-9BE1-071E8FBEBD8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017520" y="17526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49530</xdr:colOff>
      <xdr:row>10</xdr:row>
      <xdr:rowOff>26670</xdr:rowOff>
    </xdr:from>
    <xdr:to>
      <xdr:col>1</xdr:col>
      <xdr:colOff>944880</xdr:colOff>
      <xdr:row>17</xdr:row>
      <xdr:rowOff>121920</xdr:rowOff>
    </xdr:to>
    <xdr:graphicFrame macro="">
      <xdr:nvGraphicFramePr>
        <xdr:cNvPr id="5" name="Chart 4">
          <a:extLst>
            <a:ext uri="{FF2B5EF4-FFF2-40B4-BE49-F238E27FC236}">
              <a16:creationId xmlns:a16="http://schemas.microsoft.com/office/drawing/2014/main" id="{D61D2BC0-0F00-0DBA-5BB1-196171713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xdr:row>
      <xdr:rowOff>22860</xdr:rowOff>
    </xdr:from>
    <xdr:to>
      <xdr:col>4</xdr:col>
      <xdr:colOff>556260</xdr:colOff>
      <xdr:row>19</xdr:row>
      <xdr:rowOff>190500</xdr:rowOff>
    </xdr:to>
    <xdr:graphicFrame macro="">
      <xdr:nvGraphicFramePr>
        <xdr:cNvPr id="2" name="Chart 1">
          <a:extLst>
            <a:ext uri="{FF2B5EF4-FFF2-40B4-BE49-F238E27FC236}">
              <a16:creationId xmlns:a16="http://schemas.microsoft.com/office/drawing/2014/main" id="{CA202BDC-B3F7-5AFB-AC42-B10758043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30480</xdr:colOff>
      <xdr:row>0</xdr:row>
      <xdr:rowOff>0</xdr:rowOff>
    </xdr:from>
    <xdr:to>
      <xdr:col>7</xdr:col>
      <xdr:colOff>518160</xdr:colOff>
      <xdr:row>13</xdr:row>
      <xdr:rowOff>120015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90E6CE9-5753-F25C-33FC-3830DE0A12C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16780" y="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0</xdr:row>
      <xdr:rowOff>0</xdr:rowOff>
    </xdr:from>
    <xdr:to>
      <xdr:col>10</xdr:col>
      <xdr:colOff>487680</xdr:colOff>
      <xdr:row>13</xdr:row>
      <xdr:rowOff>120015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65BC7327-1D98-A4A7-BC63-44181A1F790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697980" y="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232410</xdr:colOff>
      <xdr:row>0</xdr:row>
      <xdr:rowOff>26670</xdr:rowOff>
    </xdr:from>
    <xdr:to>
      <xdr:col>9</xdr:col>
      <xdr:colOff>110490</xdr:colOff>
      <xdr:row>13</xdr:row>
      <xdr:rowOff>194310</xdr:rowOff>
    </xdr:to>
    <xdr:graphicFrame macro="">
      <xdr:nvGraphicFramePr>
        <xdr:cNvPr id="2" name="Chart 1">
          <a:extLst>
            <a:ext uri="{FF2B5EF4-FFF2-40B4-BE49-F238E27FC236}">
              <a16:creationId xmlns:a16="http://schemas.microsoft.com/office/drawing/2014/main" id="{A3A50B54-97DA-C5B9-9F28-302EC3D1A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3810</xdr:colOff>
      <xdr:row>0</xdr:row>
      <xdr:rowOff>19050</xdr:rowOff>
    </xdr:from>
    <xdr:to>
      <xdr:col>12</xdr:col>
      <xdr:colOff>552450</xdr:colOff>
      <xdr:row>13</xdr:row>
      <xdr:rowOff>186690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BC8E78F-CEBD-538D-A42F-31E8D57F86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72150" y="19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1.601873032407" createdVersion="8" refreshedVersion="8" minRefreshableVersion="3" recordCount="1470" xr:uid="{593277B2-BAD1-45FD-978D-830B12AB5B66}">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60224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FA8C1-A977-43A2-BFFB-7905CA413C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1">
    <format dxfId="7">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C4382F-E8D5-414C-AA17-520F0AB59C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A3"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0696B1-7B74-45AA-88FF-3F0A7FBF27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120314-2312-413E-B589-3967B1943B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1"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B06C3E-0E28-4392-B85B-9425B6B935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DA969-36AD-4765-8E03-533499A8D8F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234958-F461-4562-A3AF-54E0020AC3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7"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9C1A97-F47B-4B62-B288-DB72BA38593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CF_attrition count"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4038735-68D4-479A-A76D-49626F255AC2}" sourceName="Gender">
  <pivotTables>
    <pivotTable tabId="9" name="PivotTable2"/>
    <pivotTable tabId="13" name="PivotTable6"/>
    <pivotTable tabId="12" name="PivotTable5"/>
    <pivotTable tabId="10" name="PivotTable3"/>
    <pivotTable tabId="11" name="PivotTable4"/>
    <pivotTable tabId="7" name="PivotTable1"/>
    <pivotTable tabId="14" name="PivotTable7"/>
    <pivotTable tabId="8" name="PivotTable1"/>
  </pivotTables>
  <data>
    <tabular pivotCacheId="20602247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524900A-FE96-4628-8EBB-206B851CD90D}" sourceName="Department">
  <pivotTables>
    <pivotTable tabId="12" name="PivotTable5"/>
    <pivotTable tabId="13" name="PivotTable6"/>
    <pivotTable tabId="10" name="PivotTable3"/>
    <pivotTable tabId="9" name="PivotTable2"/>
    <pivotTable tabId="11" name="PivotTable4"/>
    <pivotTable tabId="7" name="PivotTable1"/>
    <pivotTable tabId="14" name="PivotTable7"/>
    <pivotTable tabId="8" name="PivotTable1"/>
  </pivotTables>
  <data>
    <tabular pivotCacheId="206022471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7692E987-288E-4C39-B4DA-9ECF4F07B104}" sourceName="Education Field">
  <pivotTables>
    <pivotTable tabId="12" name="PivotTable5"/>
    <pivotTable tabId="13" name="PivotTable6"/>
    <pivotTable tabId="10" name="PivotTable3"/>
    <pivotTable tabId="9" name="PivotTable2"/>
    <pivotTable tabId="11" name="PivotTable4"/>
    <pivotTable tabId="7" name="PivotTable1"/>
    <pivotTable tabId="14" name="PivotTable7"/>
    <pivotTable tabId="8" name="PivotTable1"/>
  </pivotTables>
  <data>
    <tabular pivotCacheId="206022471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D146DD7-23B5-4E16-A614-C5E0A848A03E}" cache="Slicer_Gender1" caption="Gender" columnCount="2" style="SlicerStyleLight4" rowHeight="260350"/>
  <slicer name="Department 1" xr10:uid="{D1746856-B39A-48DD-84DA-BC08D2AAF8A7}" cache="Slicer_Department" caption="Department" style="SlicerStyleLight6" rowHeight="260350"/>
  <slicer name="Education Field 3" xr10:uid="{96977457-FC92-460E-AAB1-4AAF3A30A16D}" cache="Slicer_Education_Field2" caption="Education" columnCount="2" style="SlicerStyleLight2"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9550C78-35F0-44CB-8CC1-4EDAC516A692}" cache="Slicer_Gender1" caption="Gender" rowHeight="260350"/>
  <slicer name="Education Field" xr10:uid="{C4E25DCD-CEF3-4211-B017-64DB9789B8D4}"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16E9DAC-3A9A-4071-8C0D-35975CC2DE45}" cache="Slicer_Gender1" caption="Gender" rowHeight="260350"/>
  <slicer name="Education Field 1" xr10:uid="{1A7AF7EA-D905-4C0B-8EAD-6E42374354D4}"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8DABF74-4339-42A6-B414-5F899774F93D}" cache="Slicer_Department" caption="Department" rowHeight="260350"/>
  <slicer name="Education Field 2" xr10:uid="{31FDCEA6-C695-49A1-867D-7E645304117E}" cache="Slicer_Education_Field2"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3D2CAB-1D30-4218-9894-71BCC3048109}">
  <we:reference id="wa200006230" version="1.0.0.0" store="en-US" storeType="OMEX"/>
  <we:alternateReferences>
    <we:reference id="WA200006230" version="1.0.0.0" store="WA20000623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C20"/>
  <sheetViews>
    <sheetView showGridLines="0" showRowColHeaders="0" tabSelected="1" zoomScale="67" zoomScaleNormal="67" workbookViewId="0">
      <selection activeCell="AF38" sqref="AF38"/>
    </sheetView>
  </sheetViews>
  <sheetFormatPr defaultColWidth="11.19921875" defaultRowHeight="15" customHeight="1" x14ac:dyDescent="0.3"/>
  <cols>
    <col min="1" max="26" width="8.59765625" style="10" customWidth="1"/>
    <col min="27" max="16384" width="11.19921875" style="10"/>
  </cols>
  <sheetData>
    <row r="1" spans="2:29" x14ac:dyDescent="0.3">
      <c r="B1" s="9"/>
    </row>
    <row r="2" spans="2:29" x14ac:dyDescent="0.3"/>
    <row r="3" spans="2:29" x14ac:dyDescent="0.3"/>
    <row r="4" spans="2:29" x14ac:dyDescent="0.3">
      <c r="AC4" s="11"/>
    </row>
    <row r="5" spans="2:29" x14ac:dyDescent="0.3"/>
    <row r="6" spans="2:29" x14ac:dyDescent="0.3"/>
    <row r="7" spans="2:29" x14ac:dyDescent="0.3"/>
    <row r="8" spans="2:29" x14ac:dyDescent="0.3"/>
    <row r="9" spans="2:29" x14ac:dyDescent="0.3"/>
    <row r="10" spans="2:29" x14ac:dyDescent="0.3"/>
    <row r="11" spans="2:29" x14ac:dyDescent="0.3"/>
    <row r="12" spans="2:29" x14ac:dyDescent="0.3"/>
    <row r="13" spans="2:29" x14ac:dyDescent="0.3"/>
    <row r="14" spans="2:29" x14ac:dyDescent="0.3"/>
    <row r="15" spans="2:29" x14ac:dyDescent="0.3"/>
    <row r="16" spans="2:29" x14ac:dyDescent="0.3"/>
    <row r="17" s="10" customFormat="1" x14ac:dyDescent="0.3"/>
    <row r="18" s="10" customFormat="1" x14ac:dyDescent="0.3"/>
    <row r="19" s="10" customFormat="1" x14ac:dyDescent="0.3"/>
    <row r="20" s="10" customFormat="1"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zoomScale="68" zoomScaleNormal="68" workbookViewId="0">
      <selection activeCell="V3" sqref="V3"/>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BE5B-145E-4B24-9867-71CB39C55736}">
  <dimension ref="A3:F7"/>
  <sheetViews>
    <sheetView workbookViewId="0">
      <selection activeCell="D18" sqref="D18"/>
    </sheetView>
  </sheetViews>
  <sheetFormatPr defaultRowHeight="15.6" x14ac:dyDescent="0.3"/>
  <cols>
    <col min="1" max="1" width="24.5" bestFit="1" customWidth="1"/>
    <col min="2" max="2" width="22.796875" bestFit="1" customWidth="1"/>
    <col min="3" max="3" width="13.5" bestFit="1" customWidth="1"/>
  </cols>
  <sheetData>
    <row r="3" spans="1:6" x14ac:dyDescent="0.3">
      <c r="A3" s="2" t="s">
        <v>1554</v>
      </c>
      <c r="B3" s="4" t="s">
        <v>1555</v>
      </c>
      <c r="C3" s="3" t="s">
        <v>1556</v>
      </c>
    </row>
    <row r="4" spans="1:6" x14ac:dyDescent="0.3">
      <c r="A4" s="18">
        <v>1470</v>
      </c>
      <c r="B4" s="19">
        <v>237</v>
      </c>
      <c r="C4" s="7">
        <v>36.923809523809524</v>
      </c>
    </row>
    <row r="6" spans="1:6" x14ac:dyDescent="0.3">
      <c r="A6" s="5" t="s">
        <v>1557</v>
      </c>
      <c r="B6" s="5" t="s">
        <v>1558</v>
      </c>
      <c r="C6" s="5" t="s">
        <v>1559</v>
      </c>
      <c r="D6" s="5" t="s">
        <v>1560</v>
      </c>
      <c r="F6" s="5" t="s">
        <v>1561</v>
      </c>
    </row>
    <row r="7" spans="1:6" x14ac:dyDescent="0.3">
      <c r="A7">
        <f>GETPIVOTDATA("Count of Employee Number",$A$3)</f>
        <v>1470</v>
      </c>
      <c r="B7">
        <f>GETPIVOTDATA("Sum of CF_attrition count",$A$3)</f>
        <v>237</v>
      </c>
      <c r="C7" s="8">
        <f>GETPIVOTDATA("Average of Age",$A$3)</f>
        <v>36.923809523809524</v>
      </c>
      <c r="D7">
        <f>A7-B7</f>
        <v>1233</v>
      </c>
      <c r="F7" s="6">
        <f>B7/A7</f>
        <v>0.16122448979591836</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C4EE-7F87-4142-9C70-41BA5182FB1F}">
  <dimension ref="A2:C6"/>
  <sheetViews>
    <sheetView workbookViewId="0">
      <selection activeCell="F13" sqref="F13"/>
    </sheetView>
  </sheetViews>
  <sheetFormatPr defaultRowHeight="15.6" x14ac:dyDescent="0.3"/>
  <cols>
    <col min="1" max="1" width="23.69921875" bestFit="1" customWidth="1"/>
  </cols>
  <sheetData>
    <row r="2" spans="1:3" x14ac:dyDescent="0.3">
      <c r="A2" t="s">
        <v>1562</v>
      </c>
    </row>
    <row r="3" spans="1:3" x14ac:dyDescent="0.3">
      <c r="A3" s="12">
        <v>2.6265306122448981</v>
      </c>
    </row>
    <row r="5" spans="1:3" x14ac:dyDescent="0.3">
      <c r="A5" s="5" t="s">
        <v>1563</v>
      </c>
      <c r="B5" s="12">
        <f>GETPIVOTDATA("Job Satisfaction",$A$2)</f>
        <v>2.6265306122448981</v>
      </c>
      <c r="C5">
        <f>B5/4</f>
        <v>0.65663265306122454</v>
      </c>
    </row>
    <row r="6" spans="1:3" x14ac:dyDescent="0.3">
      <c r="A6" s="5" t="s">
        <v>1564</v>
      </c>
      <c r="B6" s="12">
        <f>4-GETPIVOTDATA("Job Satisfaction",$A$2)</f>
        <v>1.3734693877551019</v>
      </c>
      <c r="C6">
        <f>B6/4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C5B20-43B3-4F98-B435-B0EF95ABF59E}">
  <dimension ref="A1:B7"/>
  <sheetViews>
    <sheetView workbookViewId="0">
      <selection activeCell="B2" sqref="B2"/>
    </sheetView>
  </sheetViews>
  <sheetFormatPr defaultRowHeight="15.6" x14ac:dyDescent="0.3"/>
  <cols>
    <col min="1" max="1" width="16" bestFit="1" customWidth="1"/>
    <col min="2" max="2" width="22.796875" bestFit="1" customWidth="1"/>
  </cols>
  <sheetData>
    <row r="1" spans="1:2" x14ac:dyDescent="0.3">
      <c r="A1" s="13" t="s">
        <v>1565</v>
      </c>
      <c r="B1" t="s">
        <v>1555</v>
      </c>
    </row>
    <row r="2" spans="1:2" x14ac:dyDescent="0.3">
      <c r="A2" s="14" t="s">
        <v>134</v>
      </c>
      <c r="B2" s="17">
        <v>5</v>
      </c>
    </row>
    <row r="3" spans="1:2" x14ac:dyDescent="0.3">
      <c r="A3" s="14" t="s">
        <v>65</v>
      </c>
      <c r="B3" s="17">
        <v>31</v>
      </c>
    </row>
    <row r="4" spans="1:2" x14ac:dyDescent="0.3">
      <c r="A4" s="14" t="s">
        <v>55</v>
      </c>
      <c r="B4" s="17">
        <v>44</v>
      </c>
    </row>
    <row r="5" spans="1:2" x14ac:dyDescent="0.3">
      <c r="A5" s="14" t="s">
        <v>71</v>
      </c>
      <c r="B5" s="17">
        <v>58</v>
      </c>
    </row>
    <row r="6" spans="1:2" x14ac:dyDescent="0.3">
      <c r="A6" s="14" t="s">
        <v>77</v>
      </c>
      <c r="B6" s="17">
        <v>99</v>
      </c>
    </row>
    <row r="7" spans="1:2" x14ac:dyDescent="0.3">
      <c r="A7" s="14" t="s">
        <v>1566</v>
      </c>
      <c r="B7" s="17">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7320-2A88-448C-A28F-ABFFE5466386}">
  <dimension ref="A1:E11"/>
  <sheetViews>
    <sheetView workbookViewId="0">
      <selection activeCell="D20" sqref="D20"/>
    </sheetView>
  </sheetViews>
  <sheetFormatPr defaultRowHeight="15.6" x14ac:dyDescent="0.3"/>
  <cols>
    <col min="1" max="1" width="23.296875" bestFit="1" customWidth="1"/>
    <col min="2" max="2" width="22.796875" bestFit="1" customWidth="1"/>
    <col min="4" max="4" width="23.296875" bestFit="1" customWidth="1"/>
  </cols>
  <sheetData>
    <row r="1" spans="1:5" x14ac:dyDescent="0.3">
      <c r="A1" s="13" t="s">
        <v>1565</v>
      </c>
      <c r="B1" t="s">
        <v>1555</v>
      </c>
      <c r="D1" s="5" t="s">
        <v>9</v>
      </c>
      <c r="E1" s="5" t="s">
        <v>0</v>
      </c>
    </row>
    <row r="2" spans="1:5" x14ac:dyDescent="0.3">
      <c r="A2" s="14" t="s">
        <v>83</v>
      </c>
      <c r="B2" s="17">
        <v>9</v>
      </c>
      <c r="D2" t="str">
        <f>A2</f>
        <v>Healthcare Representative</v>
      </c>
      <c r="E2">
        <f>GETPIVOTDATA("CF_attrition count",$A$1,"Job Role",A2)</f>
        <v>9</v>
      </c>
    </row>
    <row r="3" spans="1:5" x14ac:dyDescent="0.3">
      <c r="A3" s="14" t="s">
        <v>163</v>
      </c>
      <c r="B3" s="17">
        <v>12</v>
      </c>
      <c r="D3" t="str">
        <f t="shared" ref="D3:D10" si="0">A3</f>
        <v>Human Resources</v>
      </c>
      <c r="E3">
        <f t="shared" ref="E3:E10" si="1">GETPIVOTDATA("CF_attrition count",$A$1,"Job Role",A3)</f>
        <v>12</v>
      </c>
    </row>
    <row r="4" spans="1:5" x14ac:dyDescent="0.3">
      <c r="A4" s="14" t="s">
        <v>68</v>
      </c>
      <c r="B4" s="17">
        <v>62</v>
      </c>
      <c r="D4" t="str">
        <f t="shared" si="0"/>
        <v>Laboratory Technician</v>
      </c>
      <c r="E4">
        <f t="shared" si="1"/>
        <v>62</v>
      </c>
    </row>
    <row r="5" spans="1:5" x14ac:dyDescent="0.3">
      <c r="A5" s="14" t="s">
        <v>95</v>
      </c>
      <c r="B5" s="17">
        <v>5</v>
      </c>
      <c r="D5" t="str">
        <f t="shared" si="0"/>
        <v>Manager</v>
      </c>
      <c r="E5">
        <f t="shared" si="1"/>
        <v>5</v>
      </c>
    </row>
    <row r="6" spans="1:5" x14ac:dyDescent="0.3">
      <c r="A6" s="14" t="s">
        <v>81</v>
      </c>
      <c r="B6" s="17">
        <v>10</v>
      </c>
      <c r="D6" t="str">
        <f t="shared" si="0"/>
        <v>Manufacturing Director</v>
      </c>
      <c r="E6">
        <f t="shared" si="1"/>
        <v>10</v>
      </c>
    </row>
    <row r="7" spans="1:5" x14ac:dyDescent="0.3">
      <c r="A7" s="14" t="s">
        <v>101</v>
      </c>
      <c r="B7" s="17">
        <v>2</v>
      </c>
      <c r="D7" t="str">
        <f t="shared" si="0"/>
        <v>Research Director</v>
      </c>
      <c r="E7">
        <f t="shared" si="1"/>
        <v>2</v>
      </c>
    </row>
    <row r="8" spans="1:5" x14ac:dyDescent="0.3">
      <c r="A8" s="14" t="s">
        <v>63</v>
      </c>
      <c r="B8" s="17">
        <v>47</v>
      </c>
      <c r="D8" t="str">
        <f t="shared" si="0"/>
        <v>Research Scientist</v>
      </c>
      <c r="E8">
        <f t="shared" si="1"/>
        <v>47</v>
      </c>
    </row>
    <row r="9" spans="1:5" x14ac:dyDescent="0.3">
      <c r="A9" s="14" t="s">
        <v>52</v>
      </c>
      <c r="B9" s="17">
        <v>57</v>
      </c>
      <c r="D9" t="str">
        <f t="shared" si="0"/>
        <v>Sales Executive</v>
      </c>
      <c r="E9">
        <f t="shared" si="1"/>
        <v>57</v>
      </c>
    </row>
    <row r="10" spans="1:5" x14ac:dyDescent="0.3">
      <c r="A10" s="14" t="s">
        <v>99</v>
      </c>
      <c r="B10" s="17">
        <v>33</v>
      </c>
      <c r="D10" t="str">
        <f t="shared" si="0"/>
        <v>Sales Representative</v>
      </c>
      <c r="E10">
        <f t="shared" si="1"/>
        <v>33</v>
      </c>
    </row>
    <row r="11" spans="1:5" x14ac:dyDescent="0.3">
      <c r="A11" s="14" t="s">
        <v>1566</v>
      </c>
      <c r="B11" s="17">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912EE-C26E-4500-A27F-525A55781C0D}">
  <dimension ref="A2:C9"/>
  <sheetViews>
    <sheetView workbookViewId="0">
      <selection activeCell="F24" sqref="F24"/>
    </sheetView>
  </sheetViews>
  <sheetFormatPr defaultRowHeight="15.6" x14ac:dyDescent="0.3"/>
  <cols>
    <col min="1" max="1" width="12.296875" bestFit="1" customWidth="1"/>
    <col min="2" max="2" width="21.296875" bestFit="1" customWidth="1"/>
  </cols>
  <sheetData>
    <row r="2" spans="1:3" x14ac:dyDescent="0.3">
      <c r="A2" s="13" t="s">
        <v>1565</v>
      </c>
      <c r="B2" t="s">
        <v>1567</v>
      </c>
    </row>
    <row r="3" spans="1:3" x14ac:dyDescent="0.3">
      <c r="A3" s="14" t="s">
        <v>51</v>
      </c>
      <c r="B3" s="17">
        <v>588</v>
      </c>
    </row>
    <row r="4" spans="1:3" x14ac:dyDescent="0.3">
      <c r="A4" s="14" t="s">
        <v>62</v>
      </c>
      <c r="B4" s="17">
        <v>882</v>
      </c>
    </row>
    <row r="5" spans="1:3" x14ac:dyDescent="0.3">
      <c r="A5" s="14" t="s">
        <v>1566</v>
      </c>
      <c r="B5" s="17">
        <v>1470</v>
      </c>
    </row>
    <row r="8" spans="1:3" x14ac:dyDescent="0.3">
      <c r="A8" s="14" t="s">
        <v>51</v>
      </c>
      <c r="B8">
        <f>IFERROR(GETPIVOTDATA("Employee Count",$A$2,"Gender","Female"),0)</f>
        <v>588</v>
      </c>
      <c r="C8" s="15">
        <f>IFERROR(B8/($B$8+$B$9),0)</f>
        <v>0.4</v>
      </c>
    </row>
    <row r="9" spans="1:3" x14ac:dyDescent="0.3">
      <c r="A9" s="14" t="s">
        <v>62</v>
      </c>
      <c r="B9">
        <f>IFERROR(GETPIVOTDATA("Employee Count",$A$2,"Gender","Male"),0)</f>
        <v>882</v>
      </c>
      <c r="C9" s="15">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33E40-7AA1-4132-A5AE-EF31608CB556}">
  <dimension ref="A1:B5"/>
  <sheetViews>
    <sheetView workbookViewId="0">
      <selection activeCell="J19" sqref="J19"/>
    </sheetView>
  </sheetViews>
  <sheetFormatPr defaultRowHeight="15.6" x14ac:dyDescent="0.3"/>
  <cols>
    <col min="1" max="1" width="12.296875" bestFit="1" customWidth="1"/>
    <col min="2" max="2" width="22.796875" bestFit="1" customWidth="1"/>
  </cols>
  <sheetData>
    <row r="1" spans="1:2" x14ac:dyDescent="0.3">
      <c r="A1" s="13" t="s">
        <v>1565</v>
      </c>
      <c r="B1" t="s">
        <v>1555</v>
      </c>
    </row>
    <row r="2" spans="1:2" x14ac:dyDescent="0.3">
      <c r="A2" s="14" t="s">
        <v>161</v>
      </c>
      <c r="B2" s="16">
        <v>5.0632911392405063E-2</v>
      </c>
    </row>
    <row r="3" spans="1:2" x14ac:dyDescent="0.3">
      <c r="A3" s="14" t="s">
        <v>60</v>
      </c>
      <c r="B3" s="16">
        <v>0.56118143459915615</v>
      </c>
    </row>
    <row r="4" spans="1:2" x14ac:dyDescent="0.3">
      <c r="A4" s="14" t="s">
        <v>48</v>
      </c>
      <c r="B4" s="16">
        <v>0.3881856540084388</v>
      </c>
    </row>
    <row r="5" spans="1:2" x14ac:dyDescent="0.3">
      <c r="A5" s="14" t="s">
        <v>1566</v>
      </c>
      <c r="B5" s="1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7569-14B0-4152-8605-BFCF7A85ECEB}">
  <dimension ref="A1:B7"/>
  <sheetViews>
    <sheetView topLeftCell="B1" workbookViewId="0">
      <selection activeCell="B2" sqref="B2"/>
    </sheetView>
  </sheetViews>
  <sheetFormatPr defaultRowHeight="15.6" x14ac:dyDescent="0.3"/>
  <cols>
    <col min="1" max="1" width="12.296875" bestFit="1" customWidth="1"/>
    <col min="2" max="2" width="24.296875" bestFit="1" customWidth="1"/>
  </cols>
  <sheetData>
    <row r="1" spans="1:2" x14ac:dyDescent="0.3">
      <c r="A1" s="13" t="s">
        <v>1565</v>
      </c>
      <c r="B1" t="s">
        <v>1568</v>
      </c>
    </row>
    <row r="2" spans="1:2" x14ac:dyDescent="0.3">
      <c r="A2" s="14" t="s">
        <v>69</v>
      </c>
      <c r="B2" s="17">
        <v>554</v>
      </c>
    </row>
    <row r="3" spans="1:2" x14ac:dyDescent="0.3">
      <c r="A3" s="14" t="s">
        <v>46</v>
      </c>
      <c r="B3" s="17">
        <v>505</v>
      </c>
    </row>
    <row r="4" spans="1:2" x14ac:dyDescent="0.3">
      <c r="A4" s="14" t="s">
        <v>58</v>
      </c>
      <c r="B4" s="17">
        <v>245</v>
      </c>
    </row>
    <row r="5" spans="1:2" x14ac:dyDescent="0.3">
      <c r="A5" s="14" t="s">
        <v>92</v>
      </c>
      <c r="B5" s="17">
        <v>97</v>
      </c>
    </row>
    <row r="6" spans="1:2" x14ac:dyDescent="0.3">
      <c r="A6" s="14" t="s">
        <v>75</v>
      </c>
      <c r="B6" s="17">
        <v>69</v>
      </c>
    </row>
    <row r="7" spans="1:2" x14ac:dyDescent="0.3">
      <c r="A7" s="14" t="s">
        <v>1566</v>
      </c>
      <c r="B7" s="17">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8469-64D5-4C13-B1F8-4A8F258555CF}">
  <dimension ref="A1:E5"/>
  <sheetViews>
    <sheetView workbookViewId="0">
      <selection activeCell="H22" sqref="H22"/>
    </sheetView>
  </sheetViews>
  <sheetFormatPr defaultRowHeight="15.6" x14ac:dyDescent="0.3"/>
  <cols>
    <col min="1" max="1" width="12.296875" bestFit="1" customWidth="1"/>
    <col min="2" max="2" width="24.296875" bestFit="1" customWidth="1"/>
    <col min="4" max="4" width="12.69921875" bestFit="1" customWidth="1"/>
  </cols>
  <sheetData>
    <row r="1" spans="1:5" x14ac:dyDescent="0.3">
      <c r="A1" s="13" t="s">
        <v>1565</v>
      </c>
      <c r="B1" t="s">
        <v>1568</v>
      </c>
    </row>
    <row r="2" spans="1:5" x14ac:dyDescent="0.3">
      <c r="A2" s="14" t="s">
        <v>64</v>
      </c>
      <c r="B2" s="17">
        <v>673</v>
      </c>
      <c r="D2" s="5" t="s">
        <v>10</v>
      </c>
      <c r="E2" s="5" t="s">
        <v>0</v>
      </c>
    </row>
    <row r="3" spans="1:5" x14ac:dyDescent="0.3">
      <c r="A3" s="14" t="s">
        <v>53</v>
      </c>
      <c r="B3" s="17">
        <v>470</v>
      </c>
      <c r="D3" s="5" t="s">
        <v>64</v>
      </c>
      <c r="E3">
        <f>GETPIVOTDATA("CF_attrition count",$A$1,"Marital Status","Married")</f>
        <v>673</v>
      </c>
    </row>
    <row r="4" spans="1:5" x14ac:dyDescent="0.3">
      <c r="A4" s="14" t="s">
        <v>79</v>
      </c>
      <c r="B4" s="17">
        <v>327</v>
      </c>
      <c r="D4" s="5" t="s">
        <v>53</v>
      </c>
      <c r="E4">
        <f>GETPIVOTDATA("CF_attrition count",$A$1,"Marital Status","Single")</f>
        <v>470</v>
      </c>
    </row>
    <row r="5" spans="1:5" x14ac:dyDescent="0.3">
      <c r="A5" s="14" t="s">
        <v>1566</v>
      </c>
      <c r="B5" s="17">
        <v>1470</v>
      </c>
      <c r="D5" s="5" t="s">
        <v>79</v>
      </c>
      <c r="E5">
        <f>GETPIVOTDATA("CF_attrition count",$A$1,"Marital Status","Divorced")</f>
        <v>327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Data</vt:lpstr>
      <vt:lpstr>KPI</vt:lpstr>
      <vt:lpstr>Rating</vt:lpstr>
      <vt:lpstr>Education</vt:lpstr>
      <vt:lpstr>Job role</vt:lpstr>
      <vt:lpstr>Gender</vt:lpstr>
      <vt:lpstr>Department</vt:lpstr>
      <vt:lpstr>Age group</vt:lpstr>
      <vt:lpstr>Marital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Sahaja Reddy</cp:lastModifiedBy>
  <dcterms:created xsi:type="dcterms:W3CDTF">2022-12-29T16:02:46Z</dcterms:created>
  <dcterms:modified xsi:type="dcterms:W3CDTF">2026-03-24T17:19:01Z</dcterms:modified>
</cp:coreProperties>
</file>